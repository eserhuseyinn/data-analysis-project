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3040" windowHeight="8532"/>
  </bookViews>
  <sheets>
    <sheet name="sehirbazli_pivot" sheetId="3" r:id="rId1"/>
    <sheet name="kategoribazlı_pivot" sheetId="5" r:id="rId2"/>
    <sheet name="sayfa1" sheetId="1" r:id="rId3"/>
  </sheets>
  <definedNames>
    <definedName name="Dilimleyici_Kategori">#N/A</definedName>
    <definedName name="Dilimleyici_Sehir">#N/A</definedName>
    <definedName name="Dilimleyici_Sehir1">#N/A</definedName>
  </definedNames>
  <calcPr calcId="162913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M50" i="1" l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69" i="1"/>
  <c r="M69" i="1"/>
</calcChain>
</file>

<file path=xl/sharedStrings.xml><?xml version="1.0" encoding="utf-8"?>
<sst xmlns="http://schemas.openxmlformats.org/spreadsheetml/2006/main" count="1829" uniqueCount="549">
  <si>
    <t>Siparis_ID</t>
  </si>
  <si>
    <t>Tarih</t>
  </si>
  <si>
    <t>Sehir</t>
  </si>
  <si>
    <t>Kategori</t>
  </si>
  <si>
    <t>Musteri_Segmenti</t>
  </si>
  <si>
    <t>Urun_Adedi</t>
  </si>
  <si>
    <t>Birim_Fiyat</t>
  </si>
  <si>
    <t>Toplam_Ciro</t>
  </si>
  <si>
    <t>Toplam_Kar</t>
  </si>
  <si>
    <t>Odeme_Tipi</t>
  </si>
  <si>
    <t>Kargo_Suresi_Gun</t>
  </si>
  <si>
    <t>SIP1002</t>
  </si>
  <si>
    <t>2025-07-19</t>
  </si>
  <si>
    <t>Konya</t>
  </si>
  <si>
    <t>Kozmetik</t>
  </si>
  <si>
    <t>VIP</t>
  </si>
  <si>
    <t>Kredi Kartı</t>
  </si>
  <si>
    <t>SIP1003</t>
  </si>
  <si>
    <t>2025-12-15</t>
  </si>
  <si>
    <t>Samsun</t>
  </si>
  <si>
    <t>Sadık</t>
  </si>
  <si>
    <t>SIP1004</t>
  </si>
  <si>
    <t>2025-11-07</t>
  </si>
  <si>
    <t>Giyim</t>
  </si>
  <si>
    <t>Havale</t>
  </si>
  <si>
    <t>SIP1005</t>
  </si>
  <si>
    <t>2025-06-08</t>
  </si>
  <si>
    <t>İstanbul</t>
  </si>
  <si>
    <t>Elektronik</t>
  </si>
  <si>
    <t>Gelişmekte Olan</t>
  </si>
  <si>
    <t>SIP1006</t>
  </si>
  <si>
    <t>2025-06-11</t>
  </si>
  <si>
    <t>Ankara</t>
  </si>
  <si>
    <t>SIP1007</t>
  </si>
  <si>
    <t>2025-04-27</t>
  </si>
  <si>
    <t>Potansiyel</t>
  </si>
  <si>
    <t>Kapıda Ödeme</t>
  </si>
  <si>
    <t>SIP1008</t>
  </si>
  <si>
    <t>2025-11-02</t>
  </si>
  <si>
    <t>Antalya</t>
  </si>
  <si>
    <t>Spor</t>
  </si>
  <si>
    <t>SIP1009</t>
  </si>
  <si>
    <t>SIP1010</t>
  </si>
  <si>
    <t>2025-10-29</t>
  </si>
  <si>
    <t>Gaziantep</t>
  </si>
  <si>
    <t>SIP1011</t>
  </si>
  <si>
    <t>2025-09-22</t>
  </si>
  <si>
    <t>SIP1012</t>
  </si>
  <si>
    <t>2025-04-02</t>
  </si>
  <si>
    <t>SIP1013</t>
  </si>
  <si>
    <t>2025-12-27</t>
  </si>
  <si>
    <t>SIP1014</t>
  </si>
  <si>
    <t>2025-10-06</t>
  </si>
  <si>
    <t>Adana</t>
  </si>
  <si>
    <t>SIP1015</t>
  </si>
  <si>
    <t>2025-07-02</t>
  </si>
  <si>
    <t>SIP1016</t>
  </si>
  <si>
    <t>2025-07-22</t>
  </si>
  <si>
    <t>Ev Yaşam</t>
  </si>
  <si>
    <t>SIP1017</t>
  </si>
  <si>
    <t>2025-12-24</t>
  </si>
  <si>
    <t>Bursa</t>
  </si>
  <si>
    <t>SIP1018</t>
  </si>
  <si>
    <t>2025-03-25</t>
  </si>
  <si>
    <t>SIP1019</t>
  </si>
  <si>
    <t>2025-01-13</t>
  </si>
  <si>
    <t>SIP1020</t>
  </si>
  <si>
    <t>2025-03-19</t>
  </si>
  <si>
    <t>SIP1021</t>
  </si>
  <si>
    <t>2025-07-05</t>
  </si>
  <si>
    <t>Kayseri</t>
  </si>
  <si>
    <t>SIP1022</t>
  </si>
  <si>
    <t>2025-06-17</t>
  </si>
  <si>
    <t>SIP1023</t>
  </si>
  <si>
    <t>2025-12-30</t>
  </si>
  <si>
    <t>SIP1024</t>
  </si>
  <si>
    <t>2025-12-07</t>
  </si>
  <si>
    <t>SIP1025</t>
  </si>
  <si>
    <t>2025-01-25</t>
  </si>
  <si>
    <t>SIP1026</t>
  </si>
  <si>
    <t>2025-06-02</t>
  </si>
  <si>
    <t>SIP1027</t>
  </si>
  <si>
    <t>2025-10-14</t>
  </si>
  <si>
    <t>SIP1028</t>
  </si>
  <si>
    <t>2025-06-12</t>
  </si>
  <si>
    <t>SIP1029</t>
  </si>
  <si>
    <t>2025-10-05</t>
  </si>
  <si>
    <t>SIP1030</t>
  </si>
  <si>
    <t>2025-09-25</t>
  </si>
  <si>
    <t>SIP1031</t>
  </si>
  <si>
    <t>2025-09-27</t>
  </si>
  <si>
    <t>SIP1032</t>
  </si>
  <si>
    <t>2025-10-09</t>
  </si>
  <si>
    <t>SIP1033</t>
  </si>
  <si>
    <t>2025-01-03</t>
  </si>
  <si>
    <t>SIP1034</t>
  </si>
  <si>
    <t>2025-05-24</t>
  </si>
  <si>
    <t>SIP1035</t>
  </si>
  <si>
    <t>2025-05-01</t>
  </si>
  <si>
    <t>SIP1036</t>
  </si>
  <si>
    <t>2025-07-27</t>
  </si>
  <si>
    <t>SIP1037</t>
  </si>
  <si>
    <t>2025-11-14</t>
  </si>
  <si>
    <t>SIP1038</t>
  </si>
  <si>
    <t>2025-04-29</t>
  </si>
  <si>
    <t>SIP1039</t>
  </si>
  <si>
    <t>2025-01-22</t>
  </si>
  <si>
    <t>SIP1040</t>
  </si>
  <si>
    <t>2025-04-21</t>
  </si>
  <si>
    <t>SIP1041</t>
  </si>
  <si>
    <t>SIP1042</t>
  </si>
  <si>
    <t>2025-07-12</t>
  </si>
  <si>
    <t>SIP1043</t>
  </si>
  <si>
    <t>2025-02-05</t>
  </si>
  <si>
    <t>İzmir</t>
  </si>
  <si>
    <t>SIP1044</t>
  </si>
  <si>
    <t>2025-10-13</t>
  </si>
  <si>
    <t>SIP1045</t>
  </si>
  <si>
    <t>2025-06-05</t>
  </si>
  <si>
    <t>SIP1046</t>
  </si>
  <si>
    <t>2025-11-23</t>
  </si>
  <si>
    <t>SIP1047</t>
  </si>
  <si>
    <t>2025-10-11</t>
  </si>
  <si>
    <t>SIP1048</t>
  </si>
  <si>
    <t>2025-09-03</t>
  </si>
  <si>
    <t>SIP1049</t>
  </si>
  <si>
    <t>2025-04-26</t>
  </si>
  <si>
    <t>SIP1050</t>
  </si>
  <si>
    <t>SIP1051</t>
  </si>
  <si>
    <t>2025-09-07</t>
  </si>
  <si>
    <t>SIP1052</t>
  </si>
  <si>
    <t>SIP1053</t>
  </si>
  <si>
    <t>2025-07-18</t>
  </si>
  <si>
    <t>SIP1054</t>
  </si>
  <si>
    <t>2025-12-11</t>
  </si>
  <si>
    <t>SIP1055</t>
  </si>
  <si>
    <t>2025-12-23</t>
  </si>
  <si>
    <t>SIP1056</t>
  </si>
  <si>
    <t>2025-03-03</t>
  </si>
  <si>
    <t>SIP1057</t>
  </si>
  <si>
    <t>2025-08-03</t>
  </si>
  <si>
    <t>SIP1058</t>
  </si>
  <si>
    <t>2025-03-21</t>
  </si>
  <si>
    <t>SIP1059</t>
  </si>
  <si>
    <t>SIP1060</t>
  </si>
  <si>
    <t>2025-11-29</t>
  </si>
  <si>
    <t>SIP1061</t>
  </si>
  <si>
    <t>2025-07-13</t>
  </si>
  <si>
    <t>SIP1062</t>
  </si>
  <si>
    <t>2025-12-08</t>
  </si>
  <si>
    <t>SIP1063</t>
  </si>
  <si>
    <t>2025-02-22</t>
  </si>
  <si>
    <t>SIP1064</t>
  </si>
  <si>
    <t>2025-02-04</t>
  </si>
  <si>
    <t>SIP1065</t>
  </si>
  <si>
    <t>2025-04-22</t>
  </si>
  <si>
    <t>SIP1066</t>
  </si>
  <si>
    <t>SIP1067</t>
  </si>
  <si>
    <t>SIP1068</t>
  </si>
  <si>
    <t>SIP1069</t>
  </si>
  <si>
    <t>2025-08-18</t>
  </si>
  <si>
    <t>SIP1070</t>
  </si>
  <si>
    <t>2025-01-07</t>
  </si>
  <si>
    <t>SIP1071</t>
  </si>
  <si>
    <t>2025-11-20</t>
  </si>
  <si>
    <t>SIP1072</t>
  </si>
  <si>
    <t>2025-10-31</t>
  </si>
  <si>
    <t>SIP1073</t>
  </si>
  <si>
    <t>2025-10-28</t>
  </si>
  <si>
    <t>SIP1074</t>
  </si>
  <si>
    <t>2025-11-27</t>
  </si>
  <si>
    <t>SIP1075</t>
  </si>
  <si>
    <t>2025-09-30</t>
  </si>
  <si>
    <t>SIP1076</t>
  </si>
  <si>
    <t>2025-01-18</t>
  </si>
  <si>
    <t>SIP1077</t>
  </si>
  <si>
    <t>2025-10-23</t>
  </si>
  <si>
    <t>SIP1078</t>
  </si>
  <si>
    <t>2025-03-16</t>
  </si>
  <si>
    <t>SIP1079</t>
  </si>
  <si>
    <t>2025-05-13</t>
  </si>
  <si>
    <t>SIP1080</t>
  </si>
  <si>
    <t>SIP1081</t>
  </si>
  <si>
    <t>2025-04-15</t>
  </si>
  <si>
    <t>SIP1082</t>
  </si>
  <si>
    <t>2025-07-10</t>
  </si>
  <si>
    <t>SIP1083</t>
  </si>
  <si>
    <t>2025-09-26</t>
  </si>
  <si>
    <t>SIP1084</t>
  </si>
  <si>
    <t>2025-01-16</t>
  </si>
  <si>
    <t>SIP1085</t>
  </si>
  <si>
    <t>2025-01-04</t>
  </si>
  <si>
    <t>SIP1086</t>
  </si>
  <si>
    <t>2025-10-08</t>
  </si>
  <si>
    <t>SIP1087</t>
  </si>
  <si>
    <t>2025-12-09</t>
  </si>
  <si>
    <t>SIP1088</t>
  </si>
  <si>
    <t>2025-05-10</t>
  </si>
  <si>
    <t>SIP1089</t>
  </si>
  <si>
    <t>2025-01-23</t>
  </si>
  <si>
    <t>SIP1090</t>
  </si>
  <si>
    <t>2025-10-19</t>
  </si>
  <si>
    <t>SIP1091</t>
  </si>
  <si>
    <t>2025-05-12</t>
  </si>
  <si>
    <t>SIP1092</t>
  </si>
  <si>
    <t>2025-04-14</t>
  </si>
  <si>
    <t>SIP1093</t>
  </si>
  <si>
    <t>2025-05-31</t>
  </si>
  <si>
    <t>SIP1094</t>
  </si>
  <si>
    <t>2025-12-03</t>
  </si>
  <si>
    <t>SIP1095</t>
  </si>
  <si>
    <t>2025-10-17</t>
  </si>
  <si>
    <t>SIP1096</t>
  </si>
  <si>
    <t>2025-03-06</t>
  </si>
  <si>
    <t>SIP1097</t>
  </si>
  <si>
    <t>2025-03-30</t>
  </si>
  <si>
    <t>SIP1098</t>
  </si>
  <si>
    <t>2025-10-26</t>
  </si>
  <si>
    <t>SIP1099</t>
  </si>
  <si>
    <t>2025-12-20</t>
  </si>
  <si>
    <t>SIP1100</t>
  </si>
  <si>
    <t>2025-04-23</t>
  </si>
  <si>
    <t>SIP1101</t>
  </si>
  <si>
    <t>2025-12-04</t>
  </si>
  <si>
    <t>SIP1102</t>
  </si>
  <si>
    <t>2025-01-02</t>
  </si>
  <si>
    <t>SIP1103</t>
  </si>
  <si>
    <t>2025-08-16</t>
  </si>
  <si>
    <t>SIP1104</t>
  </si>
  <si>
    <t>2025-09-15</t>
  </si>
  <si>
    <t>SIP1105</t>
  </si>
  <si>
    <t>SIP1106</t>
  </si>
  <si>
    <t>SIP1107</t>
  </si>
  <si>
    <t>2025-01-05</t>
  </si>
  <si>
    <t>SIP1108</t>
  </si>
  <si>
    <t>SIP1109</t>
  </si>
  <si>
    <t>2025-05-23</t>
  </si>
  <si>
    <t>SIP1110</t>
  </si>
  <si>
    <t>2025-06-27</t>
  </si>
  <si>
    <t>SIP1111</t>
  </si>
  <si>
    <t>2025-10-07</t>
  </si>
  <si>
    <t>SIP1112</t>
  </si>
  <si>
    <t>2025-07-30</t>
  </si>
  <si>
    <t>SIP1113</t>
  </si>
  <si>
    <t>2025-11-05</t>
  </si>
  <si>
    <t>SIP1114</t>
  </si>
  <si>
    <t>2025-11-28</t>
  </si>
  <si>
    <t>SIP1115</t>
  </si>
  <si>
    <t>2025-11-13</t>
  </si>
  <si>
    <t>SIP1116</t>
  </si>
  <si>
    <t>SIP1117</t>
  </si>
  <si>
    <t>2025-05-05</t>
  </si>
  <si>
    <t>SIP1118</t>
  </si>
  <si>
    <t>2025-11-18</t>
  </si>
  <si>
    <t>SIP1119</t>
  </si>
  <si>
    <t>2025-09-29</t>
  </si>
  <si>
    <t>SIP1120</t>
  </si>
  <si>
    <t>2025-02-16</t>
  </si>
  <si>
    <t>SIP1121</t>
  </si>
  <si>
    <t>2025-12-18</t>
  </si>
  <si>
    <t>SIP1122</t>
  </si>
  <si>
    <t>SIP1123</t>
  </si>
  <si>
    <t>2025-08-04</t>
  </si>
  <si>
    <t>SIP1124</t>
  </si>
  <si>
    <t>2025-05-22</t>
  </si>
  <si>
    <t>SIP1125</t>
  </si>
  <si>
    <t>SIP1126</t>
  </si>
  <si>
    <t>2025-05-15</t>
  </si>
  <si>
    <t>SIP1127</t>
  </si>
  <si>
    <t>SIP1128</t>
  </si>
  <si>
    <t>2025-09-13</t>
  </si>
  <si>
    <t>SIP1129</t>
  </si>
  <si>
    <t>2025-07-28</t>
  </si>
  <si>
    <t>SIP1130</t>
  </si>
  <si>
    <t>SIP1131</t>
  </si>
  <si>
    <t>SIP1132</t>
  </si>
  <si>
    <t>2025-07-15</t>
  </si>
  <si>
    <t>SIP1133</t>
  </si>
  <si>
    <t>SIP1134</t>
  </si>
  <si>
    <t>2025-07-26</t>
  </si>
  <si>
    <t>SIP1135</t>
  </si>
  <si>
    <t>2025-11-15</t>
  </si>
  <si>
    <t>SIP1136</t>
  </si>
  <si>
    <t>2025-03-31</t>
  </si>
  <si>
    <t>SIP1137</t>
  </si>
  <si>
    <t>SIP1138</t>
  </si>
  <si>
    <t>SIP1139</t>
  </si>
  <si>
    <t>SIP1140</t>
  </si>
  <si>
    <t>SIP1141</t>
  </si>
  <si>
    <t>SIP1142</t>
  </si>
  <si>
    <t>2025-02-23</t>
  </si>
  <si>
    <t>SIP1143</t>
  </si>
  <si>
    <t>2025-07-07</t>
  </si>
  <si>
    <t>SIP1144</t>
  </si>
  <si>
    <t>SIP1145</t>
  </si>
  <si>
    <t>2025-09-11</t>
  </si>
  <si>
    <t>SIP1146</t>
  </si>
  <si>
    <t>2025-06-23</t>
  </si>
  <si>
    <t>SIP1147</t>
  </si>
  <si>
    <t>2025-03-04</t>
  </si>
  <si>
    <t>SIP1148</t>
  </si>
  <si>
    <t>SIP1149</t>
  </si>
  <si>
    <t>2025-05-20</t>
  </si>
  <si>
    <t>SIP1150</t>
  </si>
  <si>
    <t>SIP1151</t>
  </si>
  <si>
    <t>SIP1152</t>
  </si>
  <si>
    <t>SIP1153</t>
  </si>
  <si>
    <t>2025-11-09</t>
  </si>
  <si>
    <t>SIP1154</t>
  </si>
  <si>
    <t>2025-08-01</t>
  </si>
  <si>
    <t>SIP1155</t>
  </si>
  <si>
    <t>2025-02-26</t>
  </si>
  <si>
    <t>SIP1156</t>
  </si>
  <si>
    <t>2025-06-20</t>
  </si>
  <si>
    <t>SIP1157</t>
  </si>
  <si>
    <t>2025-04-05</t>
  </si>
  <si>
    <t>SIP1158</t>
  </si>
  <si>
    <t>2025-08-14</t>
  </si>
  <si>
    <t>SIP1159</t>
  </si>
  <si>
    <t>2025-03-20</t>
  </si>
  <si>
    <t>SIP1160</t>
  </si>
  <si>
    <t>2025-11-10</t>
  </si>
  <si>
    <t>SIP1161</t>
  </si>
  <si>
    <t>2025-01-11</t>
  </si>
  <si>
    <t>SIP1162</t>
  </si>
  <si>
    <t>SIP1163</t>
  </si>
  <si>
    <t>2025-10-30</t>
  </si>
  <si>
    <t>SIP1164</t>
  </si>
  <si>
    <t>2025-11-25</t>
  </si>
  <si>
    <t>SIP1165</t>
  </si>
  <si>
    <t>2025-07-24</t>
  </si>
  <si>
    <t>SIP1166</t>
  </si>
  <si>
    <t>SIP1167</t>
  </si>
  <si>
    <t>2025-03-24</t>
  </si>
  <si>
    <t>SIP1168</t>
  </si>
  <si>
    <t>SIP1169</t>
  </si>
  <si>
    <t>2025-02-24</t>
  </si>
  <si>
    <t>SIP1170</t>
  </si>
  <si>
    <t>SIP1171</t>
  </si>
  <si>
    <t>2025-08-29</t>
  </si>
  <si>
    <t>SIP1172</t>
  </si>
  <si>
    <t>2025-01-21</t>
  </si>
  <si>
    <t>SIP1173</t>
  </si>
  <si>
    <t>2025-09-18</t>
  </si>
  <si>
    <t>SIP1174</t>
  </si>
  <si>
    <t>2025-02-20</t>
  </si>
  <si>
    <t>SIP1175</t>
  </si>
  <si>
    <t>SIP1176</t>
  </si>
  <si>
    <t>2025-08-28</t>
  </si>
  <si>
    <t>SIP1177</t>
  </si>
  <si>
    <t>2025-06-19</t>
  </si>
  <si>
    <t>SIP1178</t>
  </si>
  <si>
    <t>SIP1179</t>
  </si>
  <si>
    <t>2025-01-12</t>
  </si>
  <si>
    <t>SIP1180</t>
  </si>
  <si>
    <t>2025-10-27</t>
  </si>
  <si>
    <t>SIP1181</t>
  </si>
  <si>
    <t>SIP1182</t>
  </si>
  <si>
    <t>2025-05-09</t>
  </si>
  <si>
    <t>SIP1183</t>
  </si>
  <si>
    <t>2025-06-14</t>
  </si>
  <si>
    <t>SIP1184</t>
  </si>
  <si>
    <t>2025-07-03</t>
  </si>
  <si>
    <t>SIP1185</t>
  </si>
  <si>
    <t>SIP1186</t>
  </si>
  <si>
    <t>2025-06-04</t>
  </si>
  <si>
    <t>SIP1187</t>
  </si>
  <si>
    <t>2025-04-10</t>
  </si>
  <si>
    <t>SIP1188</t>
  </si>
  <si>
    <t>2025-01-26</t>
  </si>
  <si>
    <t>SIP1189</t>
  </si>
  <si>
    <t>2025-04-01</t>
  </si>
  <si>
    <t>SIP1190</t>
  </si>
  <si>
    <t>2025-09-02</t>
  </si>
  <si>
    <t>SIP1191</t>
  </si>
  <si>
    <t>2025-05-02</t>
  </si>
  <si>
    <t>SIP1192</t>
  </si>
  <si>
    <t>2025-04-28</t>
  </si>
  <si>
    <t>SIP1193</t>
  </si>
  <si>
    <t>2025-08-22</t>
  </si>
  <si>
    <t>SIP1194</t>
  </si>
  <si>
    <t>2025-04-13</t>
  </si>
  <si>
    <t>SIP1195</t>
  </si>
  <si>
    <t>SIP1196</t>
  </si>
  <si>
    <t>2025-12-12</t>
  </si>
  <si>
    <t>SIP1197</t>
  </si>
  <si>
    <t>SIP1198</t>
  </si>
  <si>
    <t>2025-04-25</t>
  </si>
  <si>
    <t>SIP1199</t>
  </si>
  <si>
    <t>SIP1200</t>
  </si>
  <si>
    <t>SIP1201</t>
  </si>
  <si>
    <t>2025-02-13</t>
  </si>
  <si>
    <t>SIP1202</t>
  </si>
  <si>
    <t>2025-03-14</t>
  </si>
  <si>
    <t>SIP1203</t>
  </si>
  <si>
    <t>2025-12-25</t>
  </si>
  <si>
    <t>SIP1204</t>
  </si>
  <si>
    <t>2025-07-04</t>
  </si>
  <si>
    <t>SIP1205</t>
  </si>
  <si>
    <t>SIP1206</t>
  </si>
  <si>
    <t>2025-02-09</t>
  </si>
  <si>
    <t>SIP1207</t>
  </si>
  <si>
    <t>SIP1208</t>
  </si>
  <si>
    <t>SIP1209</t>
  </si>
  <si>
    <t>2025-02-27</t>
  </si>
  <si>
    <t>SIP1210</t>
  </si>
  <si>
    <t>2025-02-01</t>
  </si>
  <si>
    <t>SIP1211</t>
  </si>
  <si>
    <t>SIP1212</t>
  </si>
  <si>
    <t>SIP1213</t>
  </si>
  <si>
    <t>SIP1214</t>
  </si>
  <si>
    <t>SIP1215</t>
  </si>
  <si>
    <t>2025-08-10</t>
  </si>
  <si>
    <t>SIP1216</t>
  </si>
  <si>
    <t>2025-01-09</t>
  </si>
  <si>
    <t>SIP1217</t>
  </si>
  <si>
    <t>SIP1218</t>
  </si>
  <si>
    <t>2025-03-08</t>
  </si>
  <si>
    <t>SIP1219</t>
  </si>
  <si>
    <t>2025-12-17</t>
  </si>
  <si>
    <t>SIP1220</t>
  </si>
  <si>
    <t>2025-10-20</t>
  </si>
  <si>
    <t>SIP1221</t>
  </si>
  <si>
    <t>SIP1222</t>
  </si>
  <si>
    <t>2025-07-23</t>
  </si>
  <si>
    <t>SIP1223</t>
  </si>
  <si>
    <t>2025-10-16</t>
  </si>
  <si>
    <t>SIP1224</t>
  </si>
  <si>
    <t>SIP1225</t>
  </si>
  <si>
    <t>SIP1226</t>
  </si>
  <si>
    <t>SIP1227</t>
  </si>
  <si>
    <t>2025-09-24</t>
  </si>
  <si>
    <t>SIP1228</t>
  </si>
  <si>
    <t>2025-11-12</t>
  </si>
  <si>
    <t>SIP1229</t>
  </si>
  <si>
    <t>SIP1230</t>
  </si>
  <si>
    <t>SIP1231</t>
  </si>
  <si>
    <t>2025-01-27</t>
  </si>
  <si>
    <t>SIP1232</t>
  </si>
  <si>
    <t>SIP1233</t>
  </si>
  <si>
    <t>2025-02-19</t>
  </si>
  <si>
    <t>SIP1234</t>
  </si>
  <si>
    <t>2025-12-13</t>
  </si>
  <si>
    <t>SIP1235</t>
  </si>
  <si>
    <t>2025-06-25</t>
  </si>
  <si>
    <t>SIP1236</t>
  </si>
  <si>
    <t>SIP1237</t>
  </si>
  <si>
    <t>SIP1238</t>
  </si>
  <si>
    <t>SIP1239</t>
  </si>
  <si>
    <t>2025-06-29</t>
  </si>
  <si>
    <t>SIP1240</t>
  </si>
  <si>
    <t>SIP1241</t>
  </si>
  <si>
    <t>2025-06-06</t>
  </si>
  <si>
    <t>SIP1242</t>
  </si>
  <si>
    <t>SIP1243</t>
  </si>
  <si>
    <t>SIP1244</t>
  </si>
  <si>
    <t>2025-08-21</t>
  </si>
  <si>
    <t>SIP1245</t>
  </si>
  <si>
    <t>SIP1246</t>
  </si>
  <si>
    <t>2025-04-03</t>
  </si>
  <si>
    <t>SIP1247</t>
  </si>
  <si>
    <t>2025-11-11</t>
  </si>
  <si>
    <t>SIP1248</t>
  </si>
  <si>
    <t>SIP1249</t>
  </si>
  <si>
    <t>2025-07-29</t>
  </si>
  <si>
    <t>SIP1250</t>
  </si>
  <si>
    <t>SIP1251</t>
  </si>
  <si>
    <t>2025-06-10</t>
  </si>
  <si>
    <t>SIP1252</t>
  </si>
  <si>
    <t>2025-09-09</t>
  </si>
  <si>
    <t>SIP1253</t>
  </si>
  <si>
    <t>SIP1254</t>
  </si>
  <si>
    <t>2025-12-26</t>
  </si>
  <si>
    <t>SIP1255</t>
  </si>
  <si>
    <t>2025-04-24</t>
  </si>
  <si>
    <t>SIP1256</t>
  </si>
  <si>
    <t>SIP1257</t>
  </si>
  <si>
    <t>2025-06-30</t>
  </si>
  <si>
    <t>SIP1258</t>
  </si>
  <si>
    <t>SIP1259</t>
  </si>
  <si>
    <t>2025-01-20</t>
  </si>
  <si>
    <t>SIP1260</t>
  </si>
  <si>
    <t>2025-06-18</t>
  </si>
  <si>
    <t>SIP1261</t>
  </si>
  <si>
    <t>SIP1262</t>
  </si>
  <si>
    <t>2025-09-08</t>
  </si>
  <si>
    <t>SIP1263</t>
  </si>
  <si>
    <t>2025-10-10</t>
  </si>
  <si>
    <t>SIP1264</t>
  </si>
  <si>
    <t>2025-01-17</t>
  </si>
  <si>
    <t>SIP1265</t>
  </si>
  <si>
    <t>2025-11-04</t>
  </si>
  <si>
    <t>SIP1266</t>
  </si>
  <si>
    <t>SIP1267</t>
  </si>
  <si>
    <t>SIP1268</t>
  </si>
  <si>
    <t>SIP1269</t>
  </si>
  <si>
    <t>2025-10-21</t>
  </si>
  <si>
    <t>SIP1270</t>
  </si>
  <si>
    <t>2025-10-22</t>
  </si>
  <si>
    <t>SIP1271</t>
  </si>
  <si>
    <t>SIP1272</t>
  </si>
  <si>
    <t>SIP1273</t>
  </si>
  <si>
    <t>SIP1274</t>
  </si>
  <si>
    <t>2025-07-20</t>
  </si>
  <si>
    <t>SIP1275</t>
  </si>
  <si>
    <t>SIP1276</t>
  </si>
  <si>
    <t>SIP1277</t>
  </si>
  <si>
    <t>SIP1278</t>
  </si>
  <si>
    <t>2025-11-19</t>
  </si>
  <si>
    <t>SIP1279</t>
  </si>
  <si>
    <t>SIP1280</t>
  </si>
  <si>
    <t>SIP1281</t>
  </si>
  <si>
    <t>SIP1282</t>
  </si>
  <si>
    <t>2025-11-06</t>
  </si>
  <si>
    <t>SIP1283</t>
  </si>
  <si>
    <t>SIP1284</t>
  </si>
  <si>
    <t>2025-06-24</t>
  </si>
  <si>
    <t>SIP1285</t>
  </si>
  <si>
    <t>2025-05-25</t>
  </si>
  <si>
    <t>SIP1286</t>
  </si>
  <si>
    <t>2025-08-05</t>
  </si>
  <si>
    <t>SIP1287</t>
  </si>
  <si>
    <t>SIP1288</t>
  </si>
  <si>
    <t>2025-03-11</t>
  </si>
  <si>
    <t>SIP1289</t>
  </si>
  <si>
    <t>SIP1290</t>
  </si>
  <si>
    <t>2025-06-22</t>
  </si>
  <si>
    <t>SIP1291</t>
  </si>
  <si>
    <t>2025-09-10</t>
  </si>
  <si>
    <t>SIP1292</t>
  </si>
  <si>
    <t>SIP1293</t>
  </si>
  <si>
    <t>SIP1294</t>
  </si>
  <si>
    <t>SIP1295</t>
  </si>
  <si>
    <t>SIP1296</t>
  </si>
  <si>
    <t>SIP1297</t>
  </si>
  <si>
    <t>SIP1298</t>
  </si>
  <si>
    <t>SIP1299</t>
  </si>
  <si>
    <t>SIP1300</t>
  </si>
  <si>
    <t>2025-09-01</t>
  </si>
  <si>
    <t>SIP1301</t>
  </si>
  <si>
    <t>Alış_Fiyatı</t>
  </si>
  <si>
    <t>Satır Etiketleri</t>
  </si>
  <si>
    <t>(boş)</t>
  </si>
  <si>
    <t>Genel Toplam</t>
  </si>
  <si>
    <t>Toplam Toplam_Ciro</t>
  </si>
  <si>
    <t>Toplam Toplam_Kar</t>
  </si>
  <si>
    <t>Kar_marjı</t>
  </si>
  <si>
    <t>Hesaplanmış_Kar_Marjı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</si>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</sst>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₺&quot;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4" fontId="0" fillId="2" borderId="0" xfId="0" applyNumberFormat="1" applyFill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9" fontId="1" fillId="0" borderId="0" xfId="1" applyFont="1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Yüzde" xfId="1" builtinId="5"/>
  </cellStyles>
  <dxfs count="13">
    <dxf>
      <numFmt numFmtId="164" formatCode="&quot;₺&quot;#,##0.00"/>
    </dxf>
    <dxf>
      <numFmt numFmtId="164" formatCode="&quot;₺&quot;#,##0.00"/>
    </dxf>
    <dxf>
      <numFmt numFmtId="164" formatCode="&quot;₺&quot;#,##0.00"/>
    </dxf>
    <dxf>
      <numFmt numFmtId="164" formatCode="&quot;₺&quot;#,##0.00"/>
    </dxf>
    <dxf>
      <numFmt numFmtId="164" formatCode="&quot;₺&quot;#,##0.00"/>
    </dxf>
    <dxf>
      <numFmt numFmtId="164" formatCode="&quot;₺&quot;#,##0.00"/>
    </dxf>
    <dxf>
      <numFmt numFmtId="164" formatCode="&quot;₺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3" formatCode="0%"/>
    </dxf>
    <dxf>
      <numFmt numFmtId="164" formatCode="&quot;₺&quot;#,##0.00"/>
    </dxf>
    <dxf>
      <numFmt numFmtId="164" formatCode="&quot;₺&quot;#,##0.00"/>
    </dxf>
    <dxf>
      <numFmt numFmtId="164" formatCode="&quot;₺&quot;#,##0.00"/>
    </dxf>
    <dxf>
      <numFmt numFmtId="164" formatCode="&quot;₺&quot;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[veri5.xlsx]sehirbazli_pivot!PivotTable1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CİRO</a:t>
            </a:r>
            <a:r>
              <a:rPr lang="tr-TR" baseline="0"/>
              <a:t> VE KAR ANALİZİ (TL)               </a:t>
            </a:r>
            <a:endParaRPr lang="tr-TR"/>
          </a:p>
        </c:rich>
      </c:tx>
      <c:layout>
        <c:manualLayout>
          <c:xMode val="edge"/>
          <c:yMode val="edge"/>
          <c:x val="1.5007656967840724E-2"/>
          <c:y val="8.78839797803052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sehirbazli_pivot!$B$1</c:f>
              <c:strCache>
                <c:ptCount val="1"/>
                <c:pt idx="0">
                  <c:v>Toplam Toplam_Ciro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sehirbazli_pivot!$A$2:$A$13</c:f>
              <c:strCache>
                <c:ptCount val="11"/>
                <c:pt idx="0">
                  <c:v>Adana</c:v>
                </c:pt>
                <c:pt idx="1">
                  <c:v>Ankara</c:v>
                </c:pt>
                <c:pt idx="2">
                  <c:v>Antalya</c:v>
                </c:pt>
                <c:pt idx="3">
                  <c:v>Bursa</c:v>
                </c:pt>
                <c:pt idx="4">
                  <c:v>Gaziantep</c:v>
                </c:pt>
                <c:pt idx="5">
                  <c:v>İstanbul</c:v>
                </c:pt>
                <c:pt idx="6">
                  <c:v>İzmir</c:v>
                </c:pt>
                <c:pt idx="7">
                  <c:v>Kayseri</c:v>
                </c:pt>
                <c:pt idx="8">
                  <c:v>Konya</c:v>
                </c:pt>
                <c:pt idx="9">
                  <c:v>Samsun</c:v>
                </c:pt>
                <c:pt idx="10">
                  <c:v>(boş)</c:v>
                </c:pt>
              </c:strCache>
            </c:strRef>
          </c:cat>
          <c:val>
            <c:numRef>
              <c:f>sehirbazli_pivot!$B$2:$B$13</c:f>
              <c:numCache>
                <c:formatCode>"₺"#,##0.00</c:formatCode>
                <c:ptCount val="11"/>
                <c:pt idx="0">
                  <c:v>292831.86</c:v>
                </c:pt>
                <c:pt idx="1">
                  <c:v>334826.76</c:v>
                </c:pt>
                <c:pt idx="2">
                  <c:v>313548.06</c:v>
                </c:pt>
                <c:pt idx="3">
                  <c:v>400799.64</c:v>
                </c:pt>
                <c:pt idx="4">
                  <c:v>419549.64999999997</c:v>
                </c:pt>
                <c:pt idx="5">
                  <c:v>363137.81999999995</c:v>
                </c:pt>
                <c:pt idx="6">
                  <c:v>343637.99</c:v>
                </c:pt>
                <c:pt idx="7">
                  <c:v>340268.82</c:v>
                </c:pt>
                <c:pt idx="8">
                  <c:v>317508.61</c:v>
                </c:pt>
                <c:pt idx="9">
                  <c:v>294237.94</c:v>
                </c:pt>
                <c:pt idx="10">
                  <c:v>132245.13999999998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F-48F5-B52C-90D9F8B40DC4}"/>
            </c:ext>
          </c:extLst>
        </c:ser>
        <c:ser>
          <c:idx val="1"/>
          <c:order val="1"/>
          <c:tx>
            <c:strRef>
              <c:f>sehirbazli_pivot!$C$1</c:f>
              <c:strCache>
                <c:ptCount val="1"/>
                <c:pt idx="0">
                  <c:v>Toplam Toplam_Kar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sehirbazli_pivot!$A$2:$A$13</c:f>
              <c:strCache>
                <c:ptCount val="11"/>
                <c:pt idx="0">
                  <c:v>Adana</c:v>
                </c:pt>
                <c:pt idx="1">
                  <c:v>Ankara</c:v>
                </c:pt>
                <c:pt idx="2">
                  <c:v>Antalya</c:v>
                </c:pt>
                <c:pt idx="3">
                  <c:v>Bursa</c:v>
                </c:pt>
                <c:pt idx="4">
                  <c:v>Gaziantep</c:v>
                </c:pt>
                <c:pt idx="5">
                  <c:v>İstanbul</c:v>
                </c:pt>
                <c:pt idx="6">
                  <c:v>İzmir</c:v>
                </c:pt>
                <c:pt idx="7">
                  <c:v>Kayseri</c:v>
                </c:pt>
                <c:pt idx="8">
                  <c:v>Konya</c:v>
                </c:pt>
                <c:pt idx="9">
                  <c:v>Samsun</c:v>
                </c:pt>
                <c:pt idx="10">
                  <c:v>(boş)</c:v>
                </c:pt>
              </c:strCache>
            </c:strRef>
          </c:cat>
          <c:val>
            <c:numRef>
              <c:f>sehirbazli_pivot!$C$2:$C$13</c:f>
              <c:numCache>
                <c:formatCode>"₺"#,##0.00</c:formatCode>
                <c:ptCount val="11"/>
                <c:pt idx="0">
                  <c:v>82649.89999999998</c:v>
                </c:pt>
                <c:pt idx="1">
                  <c:v>94638.180000000022</c:v>
                </c:pt>
                <c:pt idx="2">
                  <c:v>80442.97</c:v>
                </c:pt>
                <c:pt idx="3">
                  <c:v>106906.93000000001</c:v>
                </c:pt>
                <c:pt idx="4">
                  <c:v>106812.66999999998</c:v>
                </c:pt>
                <c:pt idx="5">
                  <c:v>106361.11999999998</c:v>
                </c:pt>
                <c:pt idx="6">
                  <c:v>81238.740000000005</c:v>
                </c:pt>
                <c:pt idx="7">
                  <c:v>101271.19999999998</c:v>
                </c:pt>
                <c:pt idx="8">
                  <c:v>84667.76999999999</c:v>
                </c:pt>
                <c:pt idx="9">
                  <c:v>78294.820000000007</c:v>
                </c:pt>
                <c:pt idx="10">
                  <c:v>37963.850000000006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AF-48F5-B52C-90D9F8B40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966223"/>
        <c:axId val="528972047"/>
      </c:barChart>
      <c:catAx>
        <c:axId val="52896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8972047"/>
        <c:crosses val="autoZero"/>
        <c:auto val="1"/>
        <c:lblAlgn val="ctr"/>
        <c:lblOffset val="100"/>
        <c:noMultiLvlLbl val="0"/>
      </c:catAx>
      <c:valAx>
        <c:axId val="52897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₺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896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[veri5.xlsx]kategoribazlı_pivot!PivotTable1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baseline="0"/>
              <a:t>Şehir ve Kategoriye Göre Ciro - Kar ve Kar Marjı Analizi (TL)</a:t>
            </a:r>
            <a:endParaRPr lang="tr-TR"/>
          </a:p>
        </c:rich>
      </c:tx>
      <c:layout>
        <c:manualLayout>
          <c:xMode val="edge"/>
          <c:yMode val="edge"/>
          <c:x val="1.3612972017610706E-2"/>
          <c:y val="8.6450461297971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kategoribazlı_pivot!$B$1</c:f>
              <c:strCache>
                <c:ptCount val="1"/>
                <c:pt idx="0">
                  <c:v>Toplam Toplam_Ciro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kategoribazlı_pivot!$A$2:$A$7</c:f>
              <c:strCache>
                <c:ptCount val="5"/>
                <c:pt idx="0">
                  <c:v>Elektronik</c:v>
                </c:pt>
                <c:pt idx="1">
                  <c:v>Ev Yaşam</c:v>
                </c:pt>
                <c:pt idx="2">
                  <c:v>Giyim</c:v>
                </c:pt>
                <c:pt idx="3">
                  <c:v>Kozmetik</c:v>
                </c:pt>
                <c:pt idx="4">
                  <c:v>Spor</c:v>
                </c:pt>
              </c:strCache>
            </c:strRef>
          </c:cat>
          <c:val>
            <c:numRef>
              <c:f>kategoribazlı_pivot!$B$2:$B$7</c:f>
              <c:numCache>
                <c:formatCode>"₺"#,##0.00</c:formatCode>
                <c:ptCount val="5"/>
                <c:pt idx="0">
                  <c:v>149005.98000000001</c:v>
                </c:pt>
                <c:pt idx="1">
                  <c:v>81857.540000000008</c:v>
                </c:pt>
                <c:pt idx="2">
                  <c:v>9178.84</c:v>
                </c:pt>
                <c:pt idx="3">
                  <c:v>51850.99</c:v>
                </c:pt>
                <c:pt idx="4">
                  <c:v>51744.639999999999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8C-4133-AA43-ADBDA26CD5DC}"/>
            </c:ext>
          </c:extLst>
        </c:ser>
        <c:ser>
          <c:idx val="1"/>
          <c:order val="1"/>
          <c:tx>
            <c:strRef>
              <c:f>kategoribazlı_pivot!$C$1</c:f>
              <c:strCache>
                <c:ptCount val="1"/>
                <c:pt idx="0">
                  <c:v>Toplam Toplam_Kar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kategoribazlı_pivot!$A$2:$A$7</c:f>
              <c:strCache>
                <c:ptCount val="5"/>
                <c:pt idx="0">
                  <c:v>Elektronik</c:v>
                </c:pt>
                <c:pt idx="1">
                  <c:v>Ev Yaşam</c:v>
                </c:pt>
                <c:pt idx="2">
                  <c:v>Giyim</c:v>
                </c:pt>
                <c:pt idx="3">
                  <c:v>Kozmetik</c:v>
                </c:pt>
                <c:pt idx="4">
                  <c:v>Spor</c:v>
                </c:pt>
              </c:strCache>
            </c:strRef>
          </c:cat>
          <c:val>
            <c:numRef>
              <c:f>kategoribazlı_pivot!$C$2:$C$7</c:f>
              <c:numCache>
                <c:formatCode>"₺"#,##0.00</c:formatCode>
                <c:ptCount val="5"/>
                <c:pt idx="0">
                  <c:v>35910.339999999997</c:v>
                </c:pt>
                <c:pt idx="1">
                  <c:v>23408.66</c:v>
                </c:pt>
                <c:pt idx="2">
                  <c:v>1659.29</c:v>
                </c:pt>
                <c:pt idx="3">
                  <c:v>6705.35</c:v>
                </c:pt>
                <c:pt idx="4">
                  <c:v>13555.099999999999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8C-4133-AA43-ADBDA26CD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646975"/>
        <c:axId val="617645311"/>
      </c:lineChart>
      <c:lineChart>
        <c:grouping val="standard"/>
        <c:varyColors val="0"/>
        <c:ser>
          <c:idx val="2"/>
          <c:order val="2"/>
          <c:tx>
            <c:strRef>
              <c:f>kategoribazlı_pivot!$D$1</c:f>
              <c:strCache>
                <c:ptCount val="1"/>
                <c:pt idx="0">
                  <c:v>Hesaplanmış_Kar_Marjı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kategoribazlı_pivot!$A$2:$A$7</c:f>
              <c:strCache>
                <c:ptCount val="5"/>
                <c:pt idx="0">
                  <c:v>Elektronik</c:v>
                </c:pt>
                <c:pt idx="1">
                  <c:v>Ev Yaşam</c:v>
                </c:pt>
                <c:pt idx="2">
                  <c:v>Giyim</c:v>
                </c:pt>
                <c:pt idx="3">
                  <c:v>Kozmetik</c:v>
                </c:pt>
                <c:pt idx="4">
                  <c:v>Spor</c:v>
                </c:pt>
              </c:strCache>
            </c:strRef>
          </c:cat>
          <c:val>
            <c:numRef>
              <c:f>kategoribazlı_pivot!$D$2:$D$7</c:f>
              <c:numCache>
                <c:formatCode>0%</c:formatCode>
                <c:ptCount val="5"/>
                <c:pt idx="0">
                  <c:v>0.24099932096684976</c:v>
                </c:pt>
                <c:pt idx="1">
                  <c:v>0.28596828099158611</c:v>
                </c:pt>
                <c:pt idx="2">
                  <c:v>0.18077338748687197</c:v>
                </c:pt>
                <c:pt idx="3">
                  <c:v>0.12931961376243734</c:v>
                </c:pt>
                <c:pt idx="4">
                  <c:v>0.2619614321406043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8C-4133-AA43-ADBDA26CD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7913279"/>
        <c:axId val="637909119"/>
      </c:lineChart>
      <c:catAx>
        <c:axId val="617646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7645311"/>
        <c:crosses val="autoZero"/>
        <c:auto val="1"/>
        <c:lblAlgn val="ctr"/>
        <c:lblOffset val="100"/>
        <c:noMultiLvlLbl val="0"/>
      </c:catAx>
      <c:valAx>
        <c:axId val="6176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₺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7646975"/>
        <c:crosses val="autoZero"/>
        <c:crossBetween val="between"/>
      </c:valAx>
      <c:valAx>
        <c:axId val="63790911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37913279"/>
        <c:crosses val="max"/>
        <c:crossBetween val="between"/>
      </c:valAx>
      <c:catAx>
        <c:axId val="6379132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7909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259080</xdr:colOff>
      <xdr:row>0</xdr:row>
      <xdr:rowOff>0</xdr:rowOff>
    </xdr:from>
    <xdr:to>
      <xdr:col>17</xdr:col>
      <xdr:colOff>259080</xdr:colOff>
      <xdr:row>13</xdr:row>
      <xdr:rowOff>89535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hi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hi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88040" y="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2</xdr:col>
      <xdr:colOff>1230630</xdr:colOff>
      <xdr:row>0</xdr:row>
      <xdr:rowOff>22860</xdr:rowOff>
    </xdr:from>
    <xdr:to>
      <xdr:col>14</xdr:col>
      <xdr:colOff>259080</xdr:colOff>
      <xdr:row>18</xdr:row>
      <xdr:rowOff>22860</xdr:rowOff>
    </xdr:to>
    <xdr:graphicFrame macro="">
      <xdr:nvGraphicFramePr>
        <xdr:cNvPr id="6" name="Grafik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815340</xdr:colOff>
      <xdr:row>7</xdr:row>
      <xdr:rowOff>15240</xdr:rowOff>
    </xdr:from>
    <xdr:to>
      <xdr:col>3</xdr:col>
      <xdr:colOff>121920</xdr:colOff>
      <xdr:row>20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ehi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hi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8800" y="12954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6</xdr:row>
      <xdr:rowOff>175260</xdr:rowOff>
    </xdr:from>
    <xdr:to>
      <xdr:col>1</xdr:col>
      <xdr:colOff>815340</xdr:colOff>
      <xdr:row>20</xdr:row>
      <xdr:rowOff>81915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Kategori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ategor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7254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3</xdr:col>
      <xdr:colOff>1424940</xdr:colOff>
      <xdr:row>0</xdr:row>
      <xdr:rowOff>0</xdr:rowOff>
    </xdr:from>
    <xdr:to>
      <xdr:col>15</xdr:col>
      <xdr:colOff>586740</xdr:colOff>
      <xdr:row>20</xdr:row>
      <xdr:rowOff>129540</xdr:rowOff>
    </xdr:to>
    <xdr:graphicFrame macro="">
      <xdr:nvGraphicFramePr>
        <xdr:cNvPr id="7" name="Grafik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183.947471990738" createdVersion="6" refreshedVersion="6" minRefreshableVersion="3" recordCount="300">
  <cacheSource type="worksheet">
    <worksheetSource name="Tablo1"/>
  </cacheSource>
  <cacheFields count="14">
    <cacheField name="Siparis_ID" numFmtId="0">
      <sharedItems/>
    </cacheField>
    <cacheField name="Tarih" numFmtId="0">
      <sharedItems/>
    </cacheField>
    <cacheField name="Sehir" numFmtId="0">
      <sharedItems containsBlank="1" count="11">
        <s v="Konya"/>
        <s v="Samsun"/>
        <s v="İstanbul"/>
        <s v="Ankara"/>
        <s v="Antalya"/>
        <s v="Gaziantep"/>
        <s v="Adana"/>
        <s v="Bursa"/>
        <s v="Kayseri"/>
        <s v="İzmir"/>
        <m/>
      </sharedItems>
    </cacheField>
    <cacheField name="Kategori" numFmtId="0">
      <sharedItems count="5">
        <s v="Kozmetik"/>
        <s v="Giyim"/>
        <s v="Elektronik"/>
        <s v="Spor"/>
        <s v="Ev Yaşam"/>
      </sharedItems>
    </cacheField>
    <cacheField name="Musteri_Segmenti" numFmtId="0">
      <sharedItems/>
    </cacheField>
    <cacheField name="Urun_Adedi" numFmtId="0">
      <sharedItems containsSemiMixedTypes="0" containsString="0" containsNumber="1" containsInteger="1" minValue="1" maxValue="8"/>
    </cacheField>
    <cacheField name="Birim_Fiyat" numFmtId="164">
      <sharedItems containsSemiMixedTypes="0" containsString="0" containsNumber="1" minValue="170.05" maxValue="4975.43"/>
    </cacheField>
    <cacheField name="Toplam_Ciro" numFmtId="164">
      <sharedItems containsSemiMixedTypes="0" containsString="0" containsNumber="1" minValue="219.16" maxValue="37685.839999999997"/>
    </cacheField>
    <cacheField name="Toplam_Kar" numFmtId="164">
      <sharedItems containsString="0" containsBlank="1" containsNumber="1" minValue="60.81" maxValue="12807.67"/>
    </cacheField>
    <cacheField name="Odeme_Tipi" numFmtId="0">
      <sharedItems/>
    </cacheField>
    <cacheField name="Kargo_Suresi_Gun" numFmtId="0">
      <sharedItems containsSemiMixedTypes="0" containsString="0" containsNumber="1" containsInteger="1" minValue="1" maxValue="7"/>
    </cacheField>
    <cacheField name="Alış_Fiyatı" numFmtId="164">
      <sharedItems containsSemiMixedTypes="0" containsString="0" containsNumber="1" minValue="112.93400000000001" maxValue="4785.54"/>
    </cacheField>
    <cacheField name="Kar_marjı" numFmtId="9">
      <sharedItems containsSemiMixedTypes="0" containsString="0" containsNumber="1" minValue="0" maxValue="0.44998723451786377"/>
    </cacheField>
    <cacheField name="Alan1" numFmtId="0" formula="Toplam_Kar/Toplam_Ciro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s v="SIP1002"/>
    <s v="2025-07-19"/>
    <x v="0"/>
    <x v="0"/>
    <s v="VIP"/>
    <n v="8"/>
    <n v="424.73"/>
    <n v="3397.84"/>
    <n v="500.29"/>
    <s v="Kredi Kartı"/>
    <n v="2"/>
    <n v="362.19375000000002"/>
    <n v="0.14723765686436088"/>
  </r>
  <r>
    <s v="SIP1003"/>
    <s v="2025-12-15"/>
    <x v="1"/>
    <x v="0"/>
    <s v="Sadık"/>
    <n v="2"/>
    <n v="229.81"/>
    <n v="459.62"/>
    <n v="77.23"/>
    <s v="Kredi Kartı"/>
    <n v="4"/>
    <n v="191.19499999999999"/>
    <n v="0.16803011183151301"/>
  </r>
  <r>
    <s v="SIP1004"/>
    <s v="2025-11-07"/>
    <x v="0"/>
    <x v="1"/>
    <s v="VIP"/>
    <n v="5"/>
    <n v="170.05"/>
    <n v="850.25"/>
    <n v="285.58"/>
    <s v="Havale"/>
    <n v="5"/>
    <n v="112.93400000000001"/>
    <n v="0.33587768303440163"/>
  </r>
  <r>
    <s v="SIP1005"/>
    <s v="2025-06-08"/>
    <x v="2"/>
    <x v="2"/>
    <s v="Gelişmekte Olan"/>
    <n v="5"/>
    <n v="1356.22"/>
    <n v="6781.1"/>
    <n v="1871.16"/>
    <s v="Kredi Kartı"/>
    <n v="4"/>
    <n v="981.98800000000006"/>
    <n v="0.2759375322587781"/>
  </r>
  <r>
    <s v="SIP1006"/>
    <s v="2025-06-11"/>
    <x v="3"/>
    <x v="0"/>
    <s v="Sadık"/>
    <n v="3"/>
    <n v="3605.05"/>
    <n v="10815.15"/>
    <n v="4389.28"/>
    <s v="Kredi Kartı"/>
    <n v="6"/>
    <n v="2141.9566666666669"/>
    <n v="0.40584550376092793"/>
  </r>
  <r>
    <s v="SIP1007"/>
    <s v="2025-04-27"/>
    <x v="2"/>
    <x v="2"/>
    <s v="Potansiyel"/>
    <n v="4"/>
    <n v="2464.31"/>
    <n v="9857.24"/>
    <n v="4003.77"/>
    <s v="Kapıda Ödeme"/>
    <n v="2"/>
    <n v="1463.3674999999998"/>
    <n v="0.40617556232779156"/>
  </r>
  <r>
    <s v="SIP1008"/>
    <s v="2025-11-02"/>
    <x v="4"/>
    <x v="3"/>
    <s v="VIP"/>
    <n v="7"/>
    <n v="646.85"/>
    <n v="4527.95"/>
    <n v="1951.24"/>
    <s v="Kapıda Ödeme"/>
    <n v="3"/>
    <n v="368.10142857142858"/>
    <n v="0.43093232036572843"/>
  </r>
  <r>
    <s v="SIP1009"/>
    <s v="2025-11-02"/>
    <x v="4"/>
    <x v="0"/>
    <s v="Gelişmekte Olan"/>
    <n v="1"/>
    <n v="4757.75"/>
    <n v="4757.75"/>
    <n v="2105.2399999999998"/>
    <s v="Kredi Kartı"/>
    <n v="7"/>
    <n v="2652.51"/>
    <n v="0.44248646944459036"/>
  </r>
  <r>
    <s v="SIP1010"/>
    <s v="2025-10-29"/>
    <x v="5"/>
    <x v="0"/>
    <s v="Sadık"/>
    <n v="8"/>
    <n v="1134.69"/>
    <n v="9077.52"/>
    <n v="3876.49"/>
    <s v="Havale"/>
    <n v="3"/>
    <n v="650.12875000000008"/>
    <n v="0.42704284870757647"/>
  </r>
  <r>
    <s v="SIP1011"/>
    <s v="2025-09-22"/>
    <x v="5"/>
    <x v="1"/>
    <s v="Gelişmekte Olan"/>
    <n v="8"/>
    <n v="1239.42"/>
    <n v="9915.36"/>
    <n v="4049.21"/>
    <s v="Kapıda Ödeme"/>
    <n v="4"/>
    <n v="733.26875000000007"/>
    <n v="0.40837750722111954"/>
  </r>
  <r>
    <s v="SIP1012"/>
    <s v="2025-04-02"/>
    <x v="5"/>
    <x v="3"/>
    <s v="Gelişmekte Olan"/>
    <n v="3"/>
    <n v="2088.04"/>
    <n v="6264.12"/>
    <n v="1042.82"/>
    <s v="Kredi Kartı"/>
    <n v="3"/>
    <n v="1740.4333333333334"/>
    <n v="0.16647509945531055"/>
  </r>
  <r>
    <s v="SIP1013"/>
    <s v="2025-12-27"/>
    <x v="1"/>
    <x v="2"/>
    <s v="Sadık"/>
    <n v="5"/>
    <n v="3644.92"/>
    <n v="18224.599999999999"/>
    <n v="2381.46"/>
    <s v="Kapıda Ödeme"/>
    <n v="3"/>
    <n v="3168.6280000000002"/>
    <n v="0.13067282683844914"/>
  </r>
  <r>
    <s v="SIP1014"/>
    <s v="2025-10-06"/>
    <x v="6"/>
    <x v="2"/>
    <s v="Sadık"/>
    <n v="5"/>
    <n v="3603.66"/>
    <n v="18018.3"/>
    <n v="7397.57"/>
    <s v="Kredi Kartı"/>
    <n v="5"/>
    <n v="2124.1459999999997"/>
    <n v="0.4105587097561923"/>
  </r>
  <r>
    <s v="SIP1015"/>
    <s v="2025-07-02"/>
    <x v="5"/>
    <x v="0"/>
    <s v="Gelişmekte Olan"/>
    <n v="3"/>
    <n v="4405.1400000000003"/>
    <n v="13215.42"/>
    <n v="5607.07"/>
    <s v="Kapıda Ödeme"/>
    <n v="5"/>
    <n v="2536.1166666666668"/>
    <n v="0.42428239132770657"/>
  </r>
  <r>
    <s v="SIP1016"/>
    <s v="2025-07-22"/>
    <x v="4"/>
    <x v="4"/>
    <s v="Potansiyel"/>
    <n v="3"/>
    <n v="2177.2399999999998"/>
    <n v="6531.72"/>
    <n v="2468.4699999999998"/>
    <s v="Kapıda Ödeme"/>
    <n v="1"/>
    <n v="1354.4166666666665"/>
    <n v="0.37792036400825507"/>
  </r>
  <r>
    <s v="SIP1017"/>
    <s v="2025-12-24"/>
    <x v="7"/>
    <x v="1"/>
    <s v="Sadık"/>
    <n v="1"/>
    <n v="1053.21"/>
    <n v="1053.21"/>
    <n v="465.3"/>
    <s v="Kapıda Ödeme"/>
    <n v="1"/>
    <n v="587.91000000000008"/>
    <n v="0.44179223516677585"/>
  </r>
  <r>
    <s v="SIP1018"/>
    <s v="2025-03-25"/>
    <x v="3"/>
    <x v="2"/>
    <s v="VIP"/>
    <n v="1"/>
    <n v="4587.75"/>
    <n v="4587.75"/>
    <n v="789.8"/>
    <s v="Havale"/>
    <n v="6"/>
    <n v="3797.95"/>
    <n v="0.17215410604326739"/>
  </r>
  <r>
    <s v="SIP1019"/>
    <s v="2025-01-13"/>
    <x v="3"/>
    <x v="1"/>
    <s v="Sadık"/>
    <n v="1"/>
    <n v="759.63"/>
    <n v="759.63"/>
    <n v="296.11"/>
    <s v="Havale"/>
    <n v="6"/>
    <n v="463.52"/>
    <n v="0.38980819609546757"/>
  </r>
  <r>
    <s v="SIP1020"/>
    <s v="2025-03-19"/>
    <x v="7"/>
    <x v="0"/>
    <s v="Sadık"/>
    <n v="1"/>
    <n v="1218.72"/>
    <n v="1218.72"/>
    <n v="541.07000000000005"/>
    <s v="Kapıda Ödeme"/>
    <n v="6"/>
    <n v="677.65"/>
    <n v="0.44396580018379944"/>
  </r>
  <r>
    <s v="SIP1021"/>
    <s v="2025-07-05"/>
    <x v="8"/>
    <x v="1"/>
    <s v="Potansiyel"/>
    <n v="8"/>
    <n v="2437.73"/>
    <n v="19501.84"/>
    <n v="7551.45"/>
    <s v="Kredi Kartı"/>
    <n v="2"/>
    <n v="1493.7987499999999"/>
    <n v="0.38721730872574073"/>
  </r>
  <r>
    <s v="SIP1022"/>
    <s v="2025-06-17"/>
    <x v="3"/>
    <x v="1"/>
    <s v="Gelişmekte Olan"/>
    <n v="5"/>
    <n v="1283.98"/>
    <n v="6419.9"/>
    <n v="2111.5300000000002"/>
    <s v="Kredi Kartı"/>
    <n v="4"/>
    <n v="861.67399999999998"/>
    <n v="0.32890387700743007"/>
  </r>
  <r>
    <s v="SIP1023"/>
    <s v="2025-12-30"/>
    <x v="1"/>
    <x v="4"/>
    <s v="VIP"/>
    <n v="6"/>
    <n v="417.48"/>
    <n v="2504.88"/>
    <n v="944.01"/>
    <s v="Kredi Kartı"/>
    <n v="4"/>
    <n v="260.14499999999998"/>
    <n v="0.37686835297499277"/>
  </r>
  <r>
    <s v="SIP1024"/>
    <s v="2025-12-07"/>
    <x v="1"/>
    <x v="3"/>
    <s v="Gelişmekte Olan"/>
    <n v="6"/>
    <n v="2506.7600000000002"/>
    <n v="15040.56"/>
    <n v="6768.06"/>
    <s v="Kredi Kartı"/>
    <n v="5"/>
    <n v="1378.7500000000002"/>
    <n v="0.44998723451786377"/>
  </r>
  <r>
    <s v="SIP1025"/>
    <s v="2025-01-25"/>
    <x v="1"/>
    <x v="4"/>
    <s v="Gelişmekte Olan"/>
    <n v="1"/>
    <n v="554.4"/>
    <n v="554.4"/>
    <n v="76.349999999999994"/>
    <s v="Kredi Kartı"/>
    <n v="2"/>
    <n v="478.04999999999995"/>
    <n v="0.13771645021645021"/>
  </r>
  <r>
    <s v="SIP1026"/>
    <s v="2025-06-02"/>
    <x v="0"/>
    <x v="0"/>
    <s v="Gelişmekte Olan"/>
    <n v="8"/>
    <n v="1181.3599999999999"/>
    <n v="9450.8799999999992"/>
    <n v="2043.66"/>
    <s v="Kapıda Ödeme"/>
    <n v="1"/>
    <n v="925.90249999999992"/>
    <n v="0.21624018080855964"/>
  </r>
  <r>
    <s v="SIP1027"/>
    <s v="2025-10-14"/>
    <x v="4"/>
    <x v="0"/>
    <s v="Gelişmekte Olan"/>
    <n v="7"/>
    <n v="625.38"/>
    <n v="4377.66"/>
    <n v="772.78"/>
    <s v="Havale"/>
    <n v="2"/>
    <n v="514.98285714285714"/>
    <n v="0.17652809948694051"/>
  </r>
  <r>
    <s v="SIP1028"/>
    <s v="2025-06-12"/>
    <x v="2"/>
    <x v="2"/>
    <s v="Potansiyel"/>
    <n v="1"/>
    <n v="2027.58"/>
    <n v="2027.58"/>
    <n v="371.53"/>
    <s v="Havale"/>
    <n v="2"/>
    <n v="1656.05"/>
    <n v="0.18323814596711349"/>
  </r>
  <r>
    <s v="SIP1029"/>
    <s v="2025-10-05"/>
    <x v="0"/>
    <x v="4"/>
    <s v="VIP"/>
    <n v="2"/>
    <n v="263.54000000000002"/>
    <n v="527.08000000000004"/>
    <n v="112.93"/>
    <s v="Havale"/>
    <n v="5"/>
    <n v="207.07500000000002"/>
    <n v="0.21425590043257189"/>
  </r>
  <r>
    <s v="SIP1030"/>
    <s v="2025-09-25"/>
    <x v="7"/>
    <x v="2"/>
    <s v="Sadık"/>
    <n v="3"/>
    <n v="581.07000000000005"/>
    <n v="1743.21"/>
    <n v="513.57000000000005"/>
    <s v="Kapıda Ödeme"/>
    <n v="2"/>
    <n v="409.88"/>
    <n v="0.29461166468755917"/>
  </r>
  <r>
    <s v="SIP1031"/>
    <s v="2025-09-27"/>
    <x v="2"/>
    <x v="4"/>
    <s v="VIP"/>
    <n v="3"/>
    <n v="2411.13"/>
    <n v="7233.39"/>
    <n v="2014.37"/>
    <s v="Havale"/>
    <n v="6"/>
    <n v="1739.6733333333336"/>
    <n v="0.27848215013983757"/>
  </r>
  <r>
    <s v="SIP1032"/>
    <s v="2025-10-09"/>
    <x v="5"/>
    <x v="4"/>
    <s v="VIP"/>
    <n v="1"/>
    <n v="1127.82"/>
    <n v="1127.82"/>
    <n v="423.91"/>
    <s v="Kredi Kartı"/>
    <n v="6"/>
    <n v="703.90999999999985"/>
    <n v="0.3758667163199802"/>
  </r>
  <r>
    <s v="SIP1033"/>
    <s v="2025-01-03"/>
    <x v="6"/>
    <x v="1"/>
    <s v="Gelişmekte Olan"/>
    <n v="5"/>
    <n v="1005.63"/>
    <n v="5028.1499999999996"/>
    <n v="1576.94"/>
    <s v="Kredi Kartı"/>
    <n v="7"/>
    <n v="690.24199999999996"/>
    <n v="0.31362230641488426"/>
  </r>
  <r>
    <s v="SIP1034"/>
    <s v="2025-05-24"/>
    <x v="3"/>
    <x v="0"/>
    <s v="Potansiyel"/>
    <n v="5"/>
    <n v="4054.25"/>
    <n v="20271.25"/>
    <n v="4947.17"/>
    <s v="Kapıda Ödeme"/>
    <n v="6"/>
    <n v="3064.8159999999998"/>
    <n v="0.24404859098476908"/>
  </r>
  <r>
    <s v="SIP1035"/>
    <s v="2025-05-01"/>
    <x v="1"/>
    <x v="4"/>
    <s v="VIP"/>
    <n v="1"/>
    <n v="2025.22"/>
    <n v="2025.22"/>
    <n v="626.91"/>
    <s v="Kredi Kartı"/>
    <n v="5"/>
    <n v="1398.31"/>
    <n v="0.30955155489280173"/>
  </r>
  <r>
    <s v="SIP1036"/>
    <s v="2025-07-27"/>
    <x v="7"/>
    <x v="3"/>
    <s v="Gelişmekte Olan"/>
    <n v="4"/>
    <n v="2510.67"/>
    <n v="10042.68"/>
    <n v="3421.09"/>
    <s v="Kredi Kartı"/>
    <n v="3"/>
    <n v="1655.3975"/>
    <n v="0.34065508410105672"/>
  </r>
  <r>
    <s v="SIP1037"/>
    <s v="2025-11-14"/>
    <x v="0"/>
    <x v="3"/>
    <s v="Gelişmekte Olan"/>
    <n v="2"/>
    <n v="3970.91"/>
    <n v="7941.82"/>
    <n v="1342.13"/>
    <s v="Kapıda Ödeme"/>
    <n v="6"/>
    <n v="3299.8449999999998"/>
    <n v="0.16899526808716392"/>
  </r>
  <r>
    <s v="SIP1038"/>
    <s v="2025-04-29"/>
    <x v="8"/>
    <x v="4"/>
    <s v="Gelişmekte Olan"/>
    <n v="1"/>
    <n v="1196.3399999999999"/>
    <n v="1196.3399999999999"/>
    <n v="325.38"/>
    <s v="Havale"/>
    <n v="6"/>
    <n v="870.95999999999992"/>
    <n v="0.27197953758964843"/>
  </r>
  <r>
    <s v="SIP1039"/>
    <s v="2025-01-22"/>
    <x v="0"/>
    <x v="4"/>
    <s v="Sadık"/>
    <n v="6"/>
    <n v="1115.82"/>
    <n v="6694.92"/>
    <n v="2468.8200000000002"/>
    <s v="Kapıda Ödeme"/>
    <n v="1"/>
    <n v="704.34999999999991"/>
    <n v="0.36876019429657114"/>
  </r>
  <r>
    <s v="SIP1040"/>
    <s v="2025-04-21"/>
    <x v="1"/>
    <x v="0"/>
    <s v="VIP"/>
    <n v="3"/>
    <n v="1573.86"/>
    <n v="4721.58"/>
    <n v="671.36"/>
    <s v="Kapıda Ödeme"/>
    <n v="2"/>
    <n v="1350.0733333333333"/>
    <n v="0.142189690739117"/>
  </r>
  <r>
    <s v="SIP1041"/>
    <s v="2025-12-30"/>
    <x v="2"/>
    <x v="4"/>
    <s v="VIP"/>
    <n v="3"/>
    <n v="2596.48"/>
    <n v="7789.44"/>
    <n v="2921.97"/>
    <s v="Kapıda Ödeme"/>
    <n v="7"/>
    <n v="1622.4900000000002"/>
    <n v="0.37511939240818337"/>
  </r>
  <r>
    <s v="SIP1042"/>
    <s v="2025-07-12"/>
    <x v="5"/>
    <x v="4"/>
    <s v="Potansiyel"/>
    <n v="2"/>
    <n v="1132.92"/>
    <n v="2265.84"/>
    <n v="704.75"/>
    <s v="Kapıda Ödeme"/>
    <n v="6"/>
    <n v="780.54500000000007"/>
    <n v="0.31103255304875893"/>
  </r>
  <r>
    <s v="SIP1043"/>
    <s v="2025-02-05"/>
    <x v="9"/>
    <x v="3"/>
    <s v="Gelişmekte Olan"/>
    <n v="6"/>
    <n v="3680.54"/>
    <n v="22083.24"/>
    <n v="7795.44"/>
    <s v="Havale"/>
    <n v="5"/>
    <n v="2381.3000000000002"/>
    <n v="0.35300254853907304"/>
  </r>
  <r>
    <s v="SIP1044"/>
    <s v="2025-10-13"/>
    <x v="5"/>
    <x v="2"/>
    <s v="Gelişmekte Olan"/>
    <n v="4"/>
    <n v="3149.36"/>
    <n v="12597.44"/>
    <n v="1844.49"/>
    <s v="Kredi Kartı"/>
    <n v="4"/>
    <n v="2688.2375000000002"/>
    <n v="0.1464178436253715"/>
  </r>
  <r>
    <s v="SIP1045"/>
    <s v="2025-06-05"/>
    <x v="2"/>
    <x v="4"/>
    <s v="VIP"/>
    <n v="4"/>
    <n v="2254.2399999999998"/>
    <n v="9016.9599999999991"/>
    <n v="1458.89"/>
    <s v="Havale"/>
    <n v="6"/>
    <n v="1889.5174999999997"/>
    <n v="0.16179399708992834"/>
  </r>
  <r>
    <s v="SIP1046"/>
    <s v="2025-11-23"/>
    <x v="7"/>
    <x v="4"/>
    <s v="VIP"/>
    <n v="3"/>
    <n v="3595.69"/>
    <n v="10787.07"/>
    <n v="3575.29"/>
    <s v="Kredi Kartı"/>
    <n v="6"/>
    <n v="2403.9266666666667"/>
    <n v="0.33144218031402412"/>
  </r>
  <r>
    <s v="SIP1047"/>
    <s v="2025-10-11"/>
    <x v="3"/>
    <x v="1"/>
    <s v="Potansiyel"/>
    <n v="7"/>
    <n v="4677.97"/>
    <n v="32745.79"/>
    <n v="4937.6000000000004"/>
    <s v="Kredi Kartı"/>
    <n v="4"/>
    <n v="3972.5985714285716"/>
    <n v="0.15078579567022204"/>
  </r>
  <r>
    <s v="SIP1048"/>
    <s v="2025-09-03"/>
    <x v="9"/>
    <x v="2"/>
    <s v="VIP"/>
    <n v="3"/>
    <n v="3378.53"/>
    <n v="10135.59"/>
    <n v="3622.08"/>
    <s v="Kredi Kartı"/>
    <n v="3"/>
    <n v="2171.17"/>
    <n v="0.3573625215700319"/>
  </r>
  <r>
    <s v="SIP1049"/>
    <s v="2025-04-26"/>
    <x v="9"/>
    <x v="3"/>
    <s v="Sadık"/>
    <n v="3"/>
    <n v="2973.38"/>
    <n v="8920.14"/>
    <n v="1109.27"/>
    <s v="Havale"/>
    <n v="4"/>
    <n v="2603.6233333333334"/>
    <n v="0.12435567154775598"/>
  </r>
  <r>
    <s v="SIP1050"/>
    <s v="2025-04-21"/>
    <x v="5"/>
    <x v="3"/>
    <s v="Gelişmekte Olan"/>
    <n v="4"/>
    <n v="4326.1899999999996"/>
    <n v="17304.759999999998"/>
    <m/>
    <s v="Kapıda Ödeme"/>
    <n v="1"/>
    <n v="4326.1899999999996"/>
    <n v="0"/>
  </r>
  <r>
    <s v="SIP1051"/>
    <s v="2025-09-07"/>
    <x v="8"/>
    <x v="3"/>
    <s v="Gelişmekte Olan"/>
    <n v="7"/>
    <n v="3548.71"/>
    <n v="24840.97"/>
    <n v="9594.5400000000009"/>
    <s v="Kapıda Ödeme"/>
    <n v="1"/>
    <n v="2178.0614285714282"/>
    <n v="0.38623854060449331"/>
  </r>
  <r>
    <s v="SIP1052"/>
    <s v="2025-07-22"/>
    <x v="5"/>
    <x v="3"/>
    <s v="Potansiyel"/>
    <n v="4"/>
    <n v="4682.8"/>
    <n v="18731.2"/>
    <n v="3948.11"/>
    <s v="Kapıda Ödeme"/>
    <n v="2"/>
    <n v="3695.7725"/>
    <n v="0.210777205945161"/>
  </r>
  <r>
    <s v="SIP1053"/>
    <s v="2025-07-18"/>
    <x v="0"/>
    <x v="1"/>
    <s v="Gelişmekte Olan"/>
    <n v="7"/>
    <n v="2474.0100000000002"/>
    <n v="17318.07"/>
    <n v="3674.27"/>
    <s v="Kapıda Ödeme"/>
    <n v="4"/>
    <n v="1949.1142857142859"/>
    <n v="0.21216394205589884"/>
  </r>
  <r>
    <s v="SIP1054"/>
    <s v="2025-12-11"/>
    <x v="3"/>
    <x v="1"/>
    <s v="Sadık"/>
    <n v="4"/>
    <n v="2792.41"/>
    <n v="11169.64"/>
    <n v="2560.14"/>
    <s v="Kredi Kartı"/>
    <n v="1"/>
    <n v="2152.375"/>
    <n v="0.22920523848575244"/>
  </r>
  <r>
    <s v="SIP1055"/>
    <s v="2025-12-23"/>
    <x v="7"/>
    <x v="4"/>
    <s v="Sadık"/>
    <n v="1"/>
    <n v="2622.87"/>
    <n v="2622.87"/>
    <n v="937.65"/>
    <s v="Kredi Kartı"/>
    <n v="3"/>
    <n v="1685.2199999999998"/>
    <n v="0.35749007766301799"/>
  </r>
  <r>
    <s v="SIP1056"/>
    <s v="2025-03-03"/>
    <x v="7"/>
    <x v="3"/>
    <s v="Sadık"/>
    <n v="7"/>
    <n v="4528.3500000000004"/>
    <n v="31698.45"/>
    <n v="10702.27"/>
    <s v="Kapıda Ödeme"/>
    <n v="4"/>
    <n v="2999.454285714286"/>
    <n v="0.33762754961204727"/>
  </r>
  <r>
    <s v="SIP1057"/>
    <s v="2025-08-03"/>
    <x v="9"/>
    <x v="2"/>
    <s v="Potansiyel"/>
    <n v="8"/>
    <n v="4490.8599999999997"/>
    <n v="35926.879999999997"/>
    <n v="6244.1"/>
    <s v="Kredi Kartı"/>
    <n v="6"/>
    <n v="3710.3474999999999"/>
    <n v="0.17380022980008286"/>
  </r>
  <r>
    <s v="SIP1058"/>
    <s v="2025-03-21"/>
    <x v="5"/>
    <x v="1"/>
    <s v="Sadık"/>
    <n v="1"/>
    <n v="1935.99"/>
    <n v="1935.99"/>
    <n v="280.99"/>
    <s v="Kredi Kartı"/>
    <n v="3"/>
    <n v="1655"/>
    <n v="0.14514021250109763"/>
  </r>
  <r>
    <s v="SIP1059"/>
    <s v="2025-10-09"/>
    <x v="10"/>
    <x v="2"/>
    <s v="Potansiyel"/>
    <n v="8"/>
    <n v="2971.42"/>
    <n v="23771.360000000001"/>
    <n v="3445.9"/>
    <s v="Kredi Kartı"/>
    <n v="7"/>
    <n v="2540.6824999999999"/>
    <n v="0.14496015373121268"/>
  </r>
  <r>
    <s v="SIP1060"/>
    <s v="2025-11-29"/>
    <x v="4"/>
    <x v="0"/>
    <s v="VIP"/>
    <n v="2"/>
    <n v="1275.67"/>
    <n v="2551.34"/>
    <n v="621.86"/>
    <s v="Kredi Kartı"/>
    <n v="4"/>
    <n v="964.74"/>
    <n v="0.2437385844301426"/>
  </r>
  <r>
    <s v="SIP1061"/>
    <s v="2025-07-13"/>
    <x v="6"/>
    <x v="1"/>
    <s v="Sadık"/>
    <n v="8"/>
    <n v="1014.75"/>
    <n v="8118"/>
    <n v="1099.03"/>
    <s v="Kapıda Ödeme"/>
    <n v="1"/>
    <n v="877.37125000000003"/>
    <n v="0.13538186745503819"/>
  </r>
  <r>
    <s v="SIP1062"/>
    <s v="2025-12-08"/>
    <x v="5"/>
    <x v="3"/>
    <s v="Potansiyel"/>
    <n v="6"/>
    <n v="1471.73"/>
    <n v="8830.3799999999992"/>
    <n v="2770.94"/>
    <s v="Kredi Kartı"/>
    <n v="6"/>
    <n v="1009.9066666666668"/>
    <n v="0.31379623526960337"/>
  </r>
  <r>
    <s v="SIP1063"/>
    <s v="2025-02-22"/>
    <x v="2"/>
    <x v="4"/>
    <s v="Gelişmekte Olan"/>
    <n v="7"/>
    <n v="4447.0200000000004"/>
    <n v="31129.14"/>
    <n v="9910.7999999999993"/>
    <s v="Havale"/>
    <n v="7"/>
    <n v="3031.1914285714292"/>
    <n v="0.31837692914099136"/>
  </r>
  <r>
    <s v="SIP1064"/>
    <s v="2025-02-04"/>
    <x v="2"/>
    <x v="4"/>
    <s v="VIP"/>
    <n v="8"/>
    <n v="3455.54"/>
    <n v="27644.32"/>
    <n v="10718.16"/>
    <s v="Havale"/>
    <n v="5"/>
    <n v="2115.77"/>
    <n v="0.38771653634453662"/>
  </r>
  <r>
    <s v="SIP1065"/>
    <s v="2025-04-22"/>
    <x v="4"/>
    <x v="1"/>
    <s v="VIP"/>
    <n v="2"/>
    <n v="3301.87"/>
    <n v="6603.74"/>
    <n v="2636.59"/>
    <s v="Kapıda Ödeme"/>
    <n v="2"/>
    <n v="1983.5749999999998"/>
    <n v="0.39925708765033152"/>
  </r>
  <r>
    <s v="SIP1066"/>
    <s v="2025-07-12"/>
    <x v="8"/>
    <x v="4"/>
    <s v="VIP"/>
    <n v="1"/>
    <n v="1415.24"/>
    <n v="1415.24"/>
    <n v="194.77"/>
    <s v="Kapıda Ödeme"/>
    <n v="6"/>
    <n v="1220.47"/>
    <n v="0.13762330064158729"/>
  </r>
  <r>
    <s v="SIP1067"/>
    <s v="2025-12-15"/>
    <x v="1"/>
    <x v="1"/>
    <s v="Potansiyel"/>
    <n v="5"/>
    <n v="2263.04"/>
    <n v="11315.2"/>
    <n v="2475.23"/>
    <s v="Havale"/>
    <n v="1"/>
    <n v="1767.9939999999999"/>
    <n v="0.21875265130090496"/>
  </r>
  <r>
    <s v="SIP1068"/>
    <s v="2025-07-27"/>
    <x v="6"/>
    <x v="0"/>
    <s v="VIP"/>
    <n v="8"/>
    <n v="825.63"/>
    <n v="6605.04"/>
    <n v="2843.88"/>
    <s v="Kapıda Ödeme"/>
    <n v="1"/>
    <n v="470.14499999999998"/>
    <n v="0.43056211620217288"/>
  </r>
  <r>
    <s v="SIP1069"/>
    <s v="2025-08-18"/>
    <x v="5"/>
    <x v="3"/>
    <s v="VIP"/>
    <n v="8"/>
    <n v="976.41"/>
    <n v="7811.28"/>
    <m/>
    <s v="Kapıda Ödeme"/>
    <n v="4"/>
    <n v="976.41"/>
    <n v="0"/>
  </r>
  <r>
    <s v="SIP1070"/>
    <s v="2025-01-07"/>
    <x v="7"/>
    <x v="0"/>
    <s v="Gelişmekte Olan"/>
    <n v="6"/>
    <n v="4008.11"/>
    <n v="24048.66"/>
    <n v="7432.88"/>
    <s v="Kredi Kartı"/>
    <n v="3"/>
    <n v="2769.2966666666671"/>
    <n v="0.30907668036389552"/>
  </r>
  <r>
    <s v="SIP1071"/>
    <s v="2025-11-20"/>
    <x v="10"/>
    <x v="1"/>
    <s v="Sadık"/>
    <n v="1"/>
    <n v="2844.38"/>
    <n v="2844.38"/>
    <n v="1048.8699999999999"/>
    <s v="Kapıda Ödeme"/>
    <n v="4"/>
    <n v="1795.5100000000002"/>
    <n v="0.36875171390601813"/>
  </r>
  <r>
    <s v="SIP1072"/>
    <s v="2025-10-31"/>
    <x v="9"/>
    <x v="4"/>
    <s v="VIP"/>
    <n v="4"/>
    <n v="4917.08"/>
    <n v="19668.32"/>
    <n v="3178.37"/>
    <s v="Kapıda Ödeme"/>
    <n v="2"/>
    <n v="4122.4875000000002"/>
    <n v="0.16159844867278955"/>
  </r>
  <r>
    <s v="SIP1073"/>
    <s v="2025-10-28"/>
    <x v="2"/>
    <x v="4"/>
    <s v="Potansiyel"/>
    <n v="3"/>
    <n v="403.31"/>
    <n v="1209.93"/>
    <n v="306.52"/>
    <s v="Kapıda Ödeme"/>
    <n v="7"/>
    <n v="301.13666666666666"/>
    <n v="0.25333696990735"/>
  </r>
  <r>
    <s v="SIP1074"/>
    <s v="2025-11-27"/>
    <x v="6"/>
    <x v="1"/>
    <s v="VIP"/>
    <n v="7"/>
    <n v="273"/>
    <n v="1911"/>
    <n v="588.85"/>
    <s v="Havale"/>
    <n v="2"/>
    <n v="188.87857142857143"/>
    <n v="0.30813710099424385"/>
  </r>
  <r>
    <s v="SIP1075"/>
    <s v="2025-09-30"/>
    <x v="9"/>
    <x v="4"/>
    <s v="Sadık"/>
    <n v="2"/>
    <n v="1627.01"/>
    <n v="3254.02"/>
    <n v="1008.46"/>
    <s v="Kapıda Ödeme"/>
    <n v="2"/>
    <n v="1122.78"/>
    <n v="0.30991204725232174"/>
  </r>
  <r>
    <s v="SIP1076"/>
    <s v="2025-01-18"/>
    <x v="4"/>
    <x v="3"/>
    <s v="VIP"/>
    <n v="2"/>
    <n v="3909.15"/>
    <n v="7818.3"/>
    <n v="2830.82"/>
    <s v="Havale"/>
    <n v="4"/>
    <n v="2493.7399999999998"/>
    <n v="0.36207615466277837"/>
  </r>
  <r>
    <s v="SIP1077"/>
    <s v="2025-10-23"/>
    <x v="5"/>
    <x v="4"/>
    <s v="Gelişmekte Olan"/>
    <n v="8"/>
    <n v="3570.96"/>
    <n v="28567.68"/>
    <n v="3757.45"/>
    <s v="Kapıda Ödeme"/>
    <n v="2"/>
    <n v="3101.2787499999999"/>
    <n v="0.13152800647444943"/>
  </r>
  <r>
    <s v="SIP1078"/>
    <s v="2025-03-16"/>
    <x v="8"/>
    <x v="3"/>
    <s v="Potansiyel"/>
    <n v="1"/>
    <n v="3812.14"/>
    <n v="3812.14"/>
    <n v="1087"/>
    <s v="Havale"/>
    <n v="7"/>
    <n v="2725.14"/>
    <n v="0.28514167895197973"/>
  </r>
  <r>
    <s v="SIP1079"/>
    <s v="2025-05-13"/>
    <x v="0"/>
    <x v="1"/>
    <s v="VIP"/>
    <n v="5"/>
    <n v="476.44"/>
    <n v="2382.1999999999998"/>
    <n v="390.7"/>
    <s v="Kredi Kartı"/>
    <n v="7"/>
    <n v="398.3"/>
    <n v="0.16400805977667704"/>
  </r>
  <r>
    <s v="SIP1080"/>
    <s v="2025-09-07"/>
    <x v="5"/>
    <x v="0"/>
    <s v="VIP"/>
    <n v="7"/>
    <n v="2940.27"/>
    <n v="20581.89"/>
    <n v="7312.06"/>
    <s v="Kapıda Ödeme"/>
    <n v="1"/>
    <n v="1895.6899999999998"/>
    <n v="0.35526669319484266"/>
  </r>
  <r>
    <s v="SIP1081"/>
    <s v="2025-04-15"/>
    <x v="1"/>
    <x v="4"/>
    <s v="Sadık"/>
    <n v="2"/>
    <n v="1112.6300000000001"/>
    <n v="2225.2600000000002"/>
    <n v="474.45"/>
    <s v="Havale"/>
    <n v="6"/>
    <n v="875.40500000000009"/>
    <n v="0.21321104050762604"/>
  </r>
  <r>
    <s v="SIP1082"/>
    <s v="2025-07-10"/>
    <x v="8"/>
    <x v="1"/>
    <s v="Gelişmekte Olan"/>
    <n v="3"/>
    <n v="3603.16"/>
    <n v="10809.48"/>
    <m/>
    <s v="Kredi Kartı"/>
    <n v="5"/>
    <n v="3603.16"/>
    <n v="0"/>
  </r>
  <r>
    <s v="SIP1083"/>
    <s v="2025-09-26"/>
    <x v="0"/>
    <x v="3"/>
    <s v="VIP"/>
    <n v="2"/>
    <n v="3990"/>
    <n v="7980"/>
    <n v="2334.48"/>
    <s v="Havale"/>
    <n v="2"/>
    <n v="2822.76"/>
    <n v="0.29254135338345866"/>
  </r>
  <r>
    <s v="SIP1084"/>
    <s v="2025-01-16"/>
    <x v="5"/>
    <x v="1"/>
    <s v="VIP"/>
    <n v="2"/>
    <n v="4615.54"/>
    <n v="9231.08"/>
    <n v="3774.53"/>
    <s v="Kapıda Ödeme"/>
    <n v="6"/>
    <n v="2728.2749999999996"/>
    <n v="0.40889365058043048"/>
  </r>
  <r>
    <s v="SIP1085"/>
    <s v="2025-01-04"/>
    <x v="5"/>
    <x v="0"/>
    <s v="VIP"/>
    <n v="8"/>
    <n v="4140.8599999999997"/>
    <n v="33126.879999999997"/>
    <n v="7477.36"/>
    <s v="Havale"/>
    <n v="4"/>
    <n v="3206.1899999999996"/>
    <n v="0.22571881203421512"/>
  </r>
  <r>
    <s v="SIP1086"/>
    <s v="2025-10-08"/>
    <x v="8"/>
    <x v="2"/>
    <s v="VIP"/>
    <n v="7"/>
    <n v="2731.3"/>
    <n v="19119.099999999999"/>
    <n v="5433.83"/>
    <s v="Kredi Kartı"/>
    <n v="7"/>
    <n v="1955.0385714285717"/>
    <n v="0.28420950776971721"/>
  </r>
  <r>
    <s v="SIP1087"/>
    <s v="2025-12-09"/>
    <x v="5"/>
    <x v="4"/>
    <s v="Gelişmekte Olan"/>
    <n v="8"/>
    <n v="4681.8100000000004"/>
    <n v="37454.480000000003"/>
    <n v="12391.49"/>
    <s v="Kredi Kartı"/>
    <n v="3"/>
    <n v="3132.8737500000007"/>
    <n v="0.33084133059650006"/>
  </r>
  <r>
    <s v="SIP1088"/>
    <s v="2025-05-10"/>
    <x v="3"/>
    <x v="3"/>
    <s v="Potansiyel"/>
    <n v="7"/>
    <n v="2066.14"/>
    <n v="14462.98"/>
    <n v="1806.84"/>
    <s v="Havale"/>
    <n v="2"/>
    <n v="1808.02"/>
    <n v="0.12492861083953652"/>
  </r>
  <r>
    <s v="SIP1089"/>
    <s v="2025-01-23"/>
    <x v="9"/>
    <x v="0"/>
    <s v="Potansiyel"/>
    <n v="8"/>
    <n v="4710.7299999999996"/>
    <n v="37685.839999999997"/>
    <n v="4536.74"/>
    <s v="Kredi Kartı"/>
    <n v="6"/>
    <n v="4143.6374999999998"/>
    <n v="0.12038314656114871"/>
  </r>
  <r>
    <s v="SIP1090"/>
    <s v="2025-10-19"/>
    <x v="2"/>
    <x v="1"/>
    <s v="Gelişmekte Olan"/>
    <n v="3"/>
    <n v="4053.7"/>
    <n v="12161.1"/>
    <n v="5102"/>
    <s v="Kredi Kartı"/>
    <n v="4"/>
    <n v="2353.0333333333328"/>
    <n v="0.41953441711687262"/>
  </r>
  <r>
    <s v="SIP1091"/>
    <s v="2025-05-12"/>
    <x v="0"/>
    <x v="0"/>
    <s v="VIP"/>
    <n v="6"/>
    <n v="570.19000000000005"/>
    <n v="3421.14"/>
    <n v="1093.52"/>
    <s v="Kredi Kartı"/>
    <n v="5"/>
    <n v="387.93666666666672"/>
    <n v="0.31963614467692059"/>
  </r>
  <r>
    <s v="SIP1092"/>
    <s v="2025-04-14"/>
    <x v="3"/>
    <x v="2"/>
    <s v="Potansiyel"/>
    <n v="7"/>
    <n v="1455.54"/>
    <n v="10188.780000000001"/>
    <n v="2942.52"/>
    <s v="Kredi Kartı"/>
    <n v="7"/>
    <n v="1035.1799999999998"/>
    <n v="0.28880003297745166"/>
  </r>
  <r>
    <s v="SIP1093"/>
    <s v="2025-05-31"/>
    <x v="8"/>
    <x v="0"/>
    <s v="VIP"/>
    <n v="7"/>
    <n v="2912.09"/>
    <n v="20384.63"/>
    <n v="4063.1"/>
    <s v="Havale"/>
    <n v="5"/>
    <n v="2331.6471428571431"/>
    <n v="0.19932174388252324"/>
  </r>
  <r>
    <s v="SIP1094"/>
    <s v="2025-12-03"/>
    <x v="4"/>
    <x v="2"/>
    <s v="VIP"/>
    <n v="3"/>
    <n v="709.66"/>
    <n v="2128.98"/>
    <n v="416.46"/>
    <s v="Kredi Kartı"/>
    <n v="3"/>
    <n v="570.83999999999992"/>
    <n v="0.1956148014542175"/>
  </r>
  <r>
    <s v="SIP1095"/>
    <s v="2025-10-17"/>
    <x v="8"/>
    <x v="3"/>
    <s v="VIP"/>
    <n v="4"/>
    <n v="4740.75"/>
    <n v="18963"/>
    <n v="4722.57"/>
    <s v="Kredi Kartı"/>
    <n v="7"/>
    <n v="3560.1075000000001"/>
    <n v="0.24904129093497862"/>
  </r>
  <r>
    <s v="SIP1096"/>
    <s v="2025-03-06"/>
    <x v="3"/>
    <x v="4"/>
    <s v="Sadık"/>
    <n v="7"/>
    <n v="4030.89"/>
    <n v="28216.23"/>
    <n v="3688.55"/>
    <s v="Kapıda Ödeme"/>
    <n v="4"/>
    <n v="3503.9542857142856"/>
    <n v="0.1307244093204514"/>
  </r>
  <r>
    <s v="SIP1097"/>
    <s v="2025-03-30"/>
    <x v="4"/>
    <x v="0"/>
    <s v="Gelişmekte Olan"/>
    <n v="8"/>
    <n v="1541.8"/>
    <n v="12334.4"/>
    <n v="4324.72"/>
    <s v="Kredi Kartı"/>
    <n v="6"/>
    <n v="1001.2099999999999"/>
    <n v="0.35062264885199124"/>
  </r>
  <r>
    <s v="SIP1098"/>
    <s v="2025-10-26"/>
    <x v="3"/>
    <x v="1"/>
    <s v="Sadık"/>
    <n v="2"/>
    <n v="860.91"/>
    <n v="1721.82"/>
    <n v="561.66999999999996"/>
    <s v="Kredi Kartı"/>
    <n v="6"/>
    <n v="580.07500000000005"/>
    <n v="0.32620715289635382"/>
  </r>
  <r>
    <s v="SIP1099"/>
    <s v="2025-12-20"/>
    <x v="8"/>
    <x v="2"/>
    <s v="VIP"/>
    <n v="7"/>
    <n v="3600.2"/>
    <n v="25201.4"/>
    <n v="6423.53"/>
    <s v="Kredi Kartı"/>
    <n v="3"/>
    <n v="2682.5528571428567"/>
    <n v="0.25488782369233454"/>
  </r>
  <r>
    <s v="SIP1100"/>
    <s v="2025-04-23"/>
    <x v="2"/>
    <x v="0"/>
    <s v="Gelişmekte Olan"/>
    <n v="7"/>
    <n v="820.56"/>
    <n v="5743.92"/>
    <n v="1267.42"/>
    <s v="Havale"/>
    <n v="2"/>
    <n v="639.5"/>
    <n v="0.2206541873842254"/>
  </r>
  <r>
    <s v="SIP1101"/>
    <s v="2025-12-04"/>
    <x v="6"/>
    <x v="2"/>
    <s v="Gelişmekte Olan"/>
    <n v="7"/>
    <n v="2639.36"/>
    <n v="18475.52"/>
    <n v="8162.12"/>
    <s v="Havale"/>
    <n v="5"/>
    <n v="1473.3428571428574"/>
    <n v="0.44178025841762503"/>
  </r>
  <r>
    <s v="SIP1102"/>
    <s v="2025-01-02"/>
    <x v="9"/>
    <x v="3"/>
    <s v="Potansiyel"/>
    <n v="1"/>
    <n v="668.38"/>
    <n v="668.38"/>
    <n v="239.18"/>
    <s v="Kapıda Ödeme"/>
    <n v="2"/>
    <n v="429.2"/>
    <n v="0.3578503246656094"/>
  </r>
  <r>
    <s v="SIP1103"/>
    <s v="2025-08-16"/>
    <x v="3"/>
    <x v="3"/>
    <s v="VIP"/>
    <n v="7"/>
    <n v="1629.21"/>
    <n v="11404.47"/>
    <n v="3255.23"/>
    <s v="Kredi Kartı"/>
    <n v="2"/>
    <n v="1164.1771428571428"/>
    <n v="0.28543457083056034"/>
  </r>
  <r>
    <s v="SIP1104"/>
    <s v="2025-09-15"/>
    <x v="9"/>
    <x v="2"/>
    <s v="Gelişmekte Olan"/>
    <n v="8"/>
    <n v="3957.43"/>
    <n v="31659.439999999999"/>
    <n v="8183.51"/>
    <s v="Havale"/>
    <n v="1"/>
    <n v="2934.49125"/>
    <n v="0.25848562071849662"/>
  </r>
  <r>
    <s v="SIP1105"/>
    <s v="2025-05-10"/>
    <x v="10"/>
    <x v="1"/>
    <s v="Gelişmekte Olan"/>
    <n v="3"/>
    <n v="2506.2800000000002"/>
    <n v="7518.84"/>
    <n v="1534.31"/>
    <s v="Kapıda Ödeme"/>
    <n v="4"/>
    <n v="1994.8433333333335"/>
    <n v="0.20406206276500097"/>
  </r>
  <r>
    <s v="SIP1106"/>
    <s v="2025-10-06"/>
    <x v="5"/>
    <x v="2"/>
    <s v="Potansiyel"/>
    <n v="2"/>
    <n v="2313.0100000000002"/>
    <n v="4626.0200000000004"/>
    <m/>
    <s v="Kredi Kartı"/>
    <n v="5"/>
    <n v="2313.0100000000002"/>
    <n v="0"/>
  </r>
  <r>
    <s v="SIP1107"/>
    <s v="2025-01-05"/>
    <x v="8"/>
    <x v="4"/>
    <s v="Gelişmekte Olan"/>
    <n v="2"/>
    <n v="3000.78"/>
    <n v="6001.56"/>
    <n v="2073.33"/>
    <s v="Havale"/>
    <n v="2"/>
    <n v="1964.1150000000002"/>
    <n v="0.34546517905344609"/>
  </r>
  <r>
    <s v="SIP1108"/>
    <s v="2025-06-17"/>
    <x v="10"/>
    <x v="2"/>
    <s v="Sadık"/>
    <n v="3"/>
    <n v="1327.57"/>
    <n v="3982.71"/>
    <n v="1654.68"/>
    <s v="Kredi Kartı"/>
    <n v="7"/>
    <n v="776.00999999999988"/>
    <n v="0.41546585114155943"/>
  </r>
  <r>
    <s v="SIP1109"/>
    <s v="2025-05-23"/>
    <x v="10"/>
    <x v="4"/>
    <s v="Gelişmekte Olan"/>
    <n v="3"/>
    <n v="2916.95"/>
    <n v="8750.85"/>
    <n v="3937.05"/>
    <s v="Kapıda Ödeme"/>
    <n v="2"/>
    <n v="1604.5999999999997"/>
    <n v="0.44990486638440835"/>
  </r>
  <r>
    <s v="SIP1110"/>
    <s v="2025-06-27"/>
    <x v="0"/>
    <x v="2"/>
    <s v="VIP"/>
    <n v="3"/>
    <n v="2311.7600000000002"/>
    <n v="6935.28"/>
    <n v="1126.8599999999999"/>
    <s v="Kredi Kartı"/>
    <n v="2"/>
    <n v="1936.1400000000003"/>
    <n v="0.16248226459494064"/>
  </r>
  <r>
    <s v="SIP1111"/>
    <s v="2025-10-07"/>
    <x v="7"/>
    <x v="0"/>
    <s v="Gelişmekte Olan"/>
    <n v="5"/>
    <n v="4905.55"/>
    <n v="24527.75"/>
    <n v="3714.15"/>
    <s v="Kapıda Ödeme"/>
    <n v="5"/>
    <n v="4162.72"/>
    <n v="0.15142644555656348"/>
  </r>
  <r>
    <s v="SIP1112"/>
    <s v="2025-07-30"/>
    <x v="5"/>
    <x v="0"/>
    <s v="Gelişmekte Olan"/>
    <n v="5"/>
    <n v="1940.77"/>
    <n v="9703.85"/>
    <n v="4261.6499999999996"/>
    <s v="Kredi Kartı"/>
    <n v="6"/>
    <n v="1088.44"/>
    <n v="0.43917105066545747"/>
  </r>
  <r>
    <s v="SIP1113"/>
    <s v="2025-11-05"/>
    <x v="1"/>
    <x v="0"/>
    <s v="Gelişmekte Olan"/>
    <n v="8"/>
    <n v="3037.32"/>
    <n v="24298.560000000001"/>
    <n v="7029.53"/>
    <s v="Kredi Kartı"/>
    <n v="6"/>
    <n v="2158.6287500000003"/>
    <n v="0.28929821355668811"/>
  </r>
  <r>
    <s v="SIP1114"/>
    <s v="2025-11-28"/>
    <x v="6"/>
    <x v="3"/>
    <s v="Gelişmekte Olan"/>
    <n v="8"/>
    <n v="794.02"/>
    <n v="6352.16"/>
    <n v="2241.6999999999998"/>
    <s v="Havale"/>
    <n v="5"/>
    <n v="513.8075"/>
    <n v="0.3529035792549306"/>
  </r>
  <r>
    <s v="SIP1115"/>
    <s v="2025-11-13"/>
    <x v="0"/>
    <x v="3"/>
    <s v="Gelişmekte Olan"/>
    <n v="6"/>
    <n v="409.91"/>
    <n v="2459.46"/>
    <n v="887.52"/>
    <s v="Kredi Kartı"/>
    <n v="4"/>
    <n v="261.99"/>
    <n v="0.36085970090995584"/>
  </r>
  <r>
    <s v="SIP1116"/>
    <s v="2025-12-03"/>
    <x v="6"/>
    <x v="0"/>
    <s v="Potansiyel"/>
    <n v="7"/>
    <n v="3845.33"/>
    <n v="26917.31"/>
    <n v="11359.39"/>
    <s v="Havale"/>
    <n v="6"/>
    <n v="2222.56"/>
    <n v="0.42201059466937813"/>
  </r>
  <r>
    <s v="SIP1117"/>
    <s v="2025-05-05"/>
    <x v="9"/>
    <x v="4"/>
    <s v="Gelişmekte Olan"/>
    <n v="1"/>
    <n v="1740.79"/>
    <n v="1740.79"/>
    <n v="426.73"/>
    <s v="Havale"/>
    <n v="4"/>
    <n v="1314.06"/>
    <n v="0.24513582913504789"/>
  </r>
  <r>
    <s v="SIP1118"/>
    <s v="2025-11-18"/>
    <x v="1"/>
    <x v="0"/>
    <s v="Potansiyel"/>
    <n v="6"/>
    <n v="4554.41"/>
    <n v="27326.46"/>
    <n v="5178.4399999999996"/>
    <s v="Kredi Kartı"/>
    <n v="7"/>
    <n v="3691.3366666666666"/>
    <n v="0.18950277496609513"/>
  </r>
  <r>
    <s v="SIP1119"/>
    <s v="2025-09-29"/>
    <x v="4"/>
    <x v="0"/>
    <s v="VIP"/>
    <n v="1"/>
    <n v="611.51"/>
    <n v="611.51"/>
    <n v="110.72"/>
    <s v="Kapıda Ödeme"/>
    <n v="5"/>
    <n v="500.78999999999996"/>
    <n v="0.18105999901882225"/>
  </r>
  <r>
    <s v="SIP1120"/>
    <s v="2025-02-16"/>
    <x v="9"/>
    <x v="2"/>
    <s v="Sadık"/>
    <n v="8"/>
    <n v="4468.6099999999997"/>
    <n v="35748.879999999997"/>
    <n v="5846.54"/>
    <s v="Kapıda Ödeme"/>
    <n v="1"/>
    <n v="3737.7924999999996"/>
    <n v="0.1635447040578614"/>
  </r>
  <r>
    <s v="SIP1121"/>
    <s v="2025-12-18"/>
    <x v="1"/>
    <x v="0"/>
    <s v="Gelişmekte Olan"/>
    <n v="6"/>
    <n v="2279.83"/>
    <n v="13678.98"/>
    <n v="2105.17"/>
    <s v="Kapıda Ödeme"/>
    <n v="7"/>
    <n v="1928.9683333333332"/>
    <n v="0.15389817077004281"/>
  </r>
  <r>
    <s v="SIP1122"/>
    <s v="2025-04-02"/>
    <x v="9"/>
    <x v="4"/>
    <s v="Potansiyel"/>
    <n v="6"/>
    <n v="546.78"/>
    <n v="3280.68"/>
    <n v="1353.5"/>
    <s v="Kapıda Ödeme"/>
    <n v="6"/>
    <n v="321.1966666666666"/>
    <n v="0.4125669068607728"/>
  </r>
  <r>
    <s v="SIP1123"/>
    <s v="2025-08-04"/>
    <x v="7"/>
    <x v="0"/>
    <s v="Gelişmekte Olan"/>
    <n v="5"/>
    <n v="2658.41"/>
    <n v="13292.05"/>
    <n v="2756.75"/>
    <s v="Kredi Kartı"/>
    <n v="2"/>
    <n v="2107.06"/>
    <n v="0.20739840731866041"/>
  </r>
  <r>
    <s v="SIP1124"/>
    <s v="2025-05-22"/>
    <x v="5"/>
    <x v="4"/>
    <s v="VIP"/>
    <n v="3"/>
    <n v="3253.83"/>
    <n v="9761.49"/>
    <n v="3467.34"/>
    <s v="Kredi Kartı"/>
    <n v="1"/>
    <n v="2098.0500000000002"/>
    <n v="0.35520601875328461"/>
  </r>
  <r>
    <s v="SIP1125"/>
    <s v="2025-12-04"/>
    <x v="8"/>
    <x v="3"/>
    <s v="Gelişmekte Olan"/>
    <n v="1"/>
    <n v="628.84"/>
    <n v="628.84"/>
    <n v="118.03"/>
    <s v="Kredi Kartı"/>
    <n v="6"/>
    <n v="510.81000000000006"/>
    <n v="0.1876948031295719"/>
  </r>
  <r>
    <s v="SIP1126"/>
    <s v="2025-05-15"/>
    <x v="1"/>
    <x v="1"/>
    <s v="Gelişmekte Olan"/>
    <n v="1"/>
    <n v="3124.59"/>
    <n v="3124.59"/>
    <n v="1170.73"/>
    <s v="Havale"/>
    <n v="5"/>
    <n v="1953.8600000000001"/>
    <n v="0.37468275837789916"/>
  </r>
  <r>
    <s v="SIP1127"/>
    <s v="2025-02-04"/>
    <x v="0"/>
    <x v="0"/>
    <s v="VIP"/>
    <n v="7"/>
    <n v="3375.99"/>
    <n v="23631.93"/>
    <n v="7275.44"/>
    <s v="Kapıda Ödeme"/>
    <n v="5"/>
    <n v="2336.6414285714282"/>
    <n v="0.30786482525972275"/>
  </r>
  <r>
    <s v="SIP1128"/>
    <s v="2025-09-13"/>
    <x v="3"/>
    <x v="2"/>
    <s v="Sadık"/>
    <n v="2"/>
    <n v="3279.03"/>
    <n v="6558.06"/>
    <m/>
    <s v="Kapıda Ödeme"/>
    <n v="6"/>
    <n v="3279.03"/>
    <n v="0"/>
  </r>
  <r>
    <s v="SIP1129"/>
    <s v="2025-07-28"/>
    <x v="9"/>
    <x v="0"/>
    <s v="Sadık"/>
    <n v="3"/>
    <n v="3724.99"/>
    <n v="11174.97"/>
    <n v="2168.61"/>
    <s v="Havale"/>
    <n v="7"/>
    <n v="3002.12"/>
    <n v="0.19405958136800369"/>
  </r>
  <r>
    <s v="SIP1130"/>
    <s v="2025-01-05"/>
    <x v="5"/>
    <x v="4"/>
    <s v="Potansiyel"/>
    <n v="3"/>
    <n v="4342.88"/>
    <n v="13028.64"/>
    <n v="5013.1400000000003"/>
    <s v="Kredi Kartı"/>
    <n v="3"/>
    <n v="2671.833333333333"/>
    <n v="0.38477845730636512"/>
  </r>
  <r>
    <s v="SIP1131"/>
    <s v="2025-09-26"/>
    <x v="2"/>
    <x v="0"/>
    <s v="VIP"/>
    <n v="7"/>
    <n v="846.15"/>
    <n v="5923.05"/>
    <n v="2133.1"/>
    <s v="Kredi Kartı"/>
    <n v="2"/>
    <n v="541.42142857142858"/>
    <n v="0.36013540321287174"/>
  </r>
  <r>
    <s v="SIP1132"/>
    <s v="2025-07-15"/>
    <x v="7"/>
    <x v="3"/>
    <s v="Potansiyel"/>
    <n v="3"/>
    <n v="3897.05"/>
    <n v="11691.15"/>
    <n v="1794.63"/>
    <s v="Havale"/>
    <n v="2"/>
    <n v="3298.84"/>
    <n v="0.15350329095084744"/>
  </r>
  <r>
    <s v="SIP1133"/>
    <s v="2025-10-26"/>
    <x v="6"/>
    <x v="2"/>
    <s v="Gelişmekte Olan"/>
    <n v="4"/>
    <n v="2685.16"/>
    <n v="10740.64"/>
    <m/>
    <s v="Havale"/>
    <n v="3"/>
    <n v="2685.16"/>
    <n v="0"/>
  </r>
  <r>
    <s v="SIP1134"/>
    <s v="2025-07-26"/>
    <x v="7"/>
    <x v="0"/>
    <s v="Gelişmekte Olan"/>
    <n v="3"/>
    <n v="2277.08"/>
    <n v="6831.24"/>
    <n v="2010.31"/>
    <s v="Havale"/>
    <n v="5"/>
    <n v="1606.9766666666665"/>
    <n v="0.29428185805212526"/>
  </r>
  <r>
    <s v="SIP1135"/>
    <s v="2025-11-15"/>
    <x v="5"/>
    <x v="4"/>
    <s v="Gelişmekte Olan"/>
    <n v="2"/>
    <n v="2108.27"/>
    <n v="4216.54"/>
    <n v="964.75"/>
    <s v="Havale"/>
    <n v="6"/>
    <n v="1625.895"/>
    <n v="0.22880133948687786"/>
  </r>
  <r>
    <s v="SIP1136"/>
    <s v="2025-03-31"/>
    <x v="0"/>
    <x v="4"/>
    <s v="Potansiyel"/>
    <n v="5"/>
    <n v="2878.67"/>
    <n v="14393.35"/>
    <n v="4585.51"/>
    <s v="Kapıda Ödeme"/>
    <n v="3"/>
    <n v="1961.568"/>
    <n v="0.31858531891463765"/>
  </r>
  <r>
    <s v="SIP1137"/>
    <s v="2025-12-08"/>
    <x v="4"/>
    <x v="3"/>
    <s v="Potansiyel"/>
    <n v="1"/>
    <n v="3842.14"/>
    <n v="3842.14"/>
    <n v="551.5"/>
    <s v="Havale"/>
    <n v="2"/>
    <n v="3290.64"/>
    <n v="0.14353979813333195"/>
  </r>
  <r>
    <s v="SIP1138"/>
    <s v="2025-11-28"/>
    <x v="1"/>
    <x v="4"/>
    <s v="VIP"/>
    <n v="2"/>
    <n v="1484.85"/>
    <n v="2969.7"/>
    <n v="802.81"/>
    <s v="Kredi Kartı"/>
    <n v="1"/>
    <n v="1083.4449999999999"/>
    <n v="0.27033370374111865"/>
  </r>
  <r>
    <s v="SIP1139"/>
    <s v="2025-03-19"/>
    <x v="9"/>
    <x v="1"/>
    <s v="Gelişmekte Olan"/>
    <n v="3"/>
    <n v="1184.0999999999999"/>
    <n v="3552.3"/>
    <n v="858.42"/>
    <s v="Kapıda Ödeme"/>
    <n v="4"/>
    <n v="897.95999999999992"/>
    <n v="0.24165188750950087"/>
  </r>
  <r>
    <s v="SIP1140"/>
    <s v="2025-06-27"/>
    <x v="0"/>
    <x v="2"/>
    <s v="Gelişmekte Olan"/>
    <n v="2"/>
    <n v="1197.1600000000001"/>
    <n v="2394.3200000000002"/>
    <n v="449.26"/>
    <s v="Kredi Kartı"/>
    <n v="4"/>
    <n v="972.53000000000009"/>
    <n v="0.1876357379130609"/>
  </r>
  <r>
    <s v="SIP1141"/>
    <s v="2025-09-26"/>
    <x v="0"/>
    <x v="4"/>
    <s v="Potansiyel"/>
    <n v="7"/>
    <n v="4804.1400000000003"/>
    <n v="33628.980000000003"/>
    <n v="6790.13"/>
    <s v="Havale"/>
    <n v="3"/>
    <n v="3834.1214285714286"/>
    <n v="0.20191305237328042"/>
  </r>
  <r>
    <s v="SIP1142"/>
    <s v="2025-02-23"/>
    <x v="4"/>
    <x v="3"/>
    <s v="Potansiyel"/>
    <n v="6"/>
    <n v="4966.83"/>
    <n v="29800.98"/>
    <n v="11536.49"/>
    <s v="Havale"/>
    <n v="5"/>
    <n v="3044.0816666666669"/>
    <n v="0.38711780619295072"/>
  </r>
  <r>
    <s v="SIP1143"/>
    <s v="2025-07-07"/>
    <x v="1"/>
    <x v="1"/>
    <s v="VIP"/>
    <n v="1"/>
    <n v="1845.23"/>
    <n v="1845.23"/>
    <n v="659.83"/>
    <s v="Kredi Kartı"/>
    <n v="3"/>
    <n v="1185.4000000000001"/>
    <n v="0.35758685909073668"/>
  </r>
  <r>
    <s v="SIP1144"/>
    <s v="2025-05-15"/>
    <x v="8"/>
    <x v="3"/>
    <s v="VIP"/>
    <n v="4"/>
    <n v="4812.09"/>
    <n v="19248.36"/>
    <n v="7189.06"/>
    <s v="Havale"/>
    <n v="4"/>
    <n v="3014.8249999999998"/>
    <n v="0.3734894817012982"/>
  </r>
  <r>
    <s v="SIP1145"/>
    <s v="2025-09-11"/>
    <x v="4"/>
    <x v="0"/>
    <s v="Sadık"/>
    <n v="7"/>
    <n v="4460.05"/>
    <n v="31220.35"/>
    <n v="8277.57"/>
    <s v="Kapıda Ödeme"/>
    <n v="6"/>
    <n v="3277.54"/>
    <n v="0.2651337989484423"/>
  </r>
  <r>
    <s v="SIP1146"/>
    <s v="2025-06-23"/>
    <x v="0"/>
    <x v="1"/>
    <s v="VIP"/>
    <n v="1"/>
    <n v="1238.32"/>
    <n v="1238.32"/>
    <n v="204.73"/>
    <s v="Kapıda Ödeme"/>
    <n v="4"/>
    <n v="1033.5899999999999"/>
    <n v="0.16532883261192582"/>
  </r>
  <r>
    <s v="SIP1147"/>
    <s v="2025-03-04"/>
    <x v="7"/>
    <x v="2"/>
    <s v="VIP"/>
    <n v="4"/>
    <n v="4922.5600000000004"/>
    <n v="19690.240000000002"/>
    <n v="4106.83"/>
    <s v="Kapıda Ödeme"/>
    <n v="1"/>
    <n v="3895.8525000000004"/>
    <n v="0.20857186098290317"/>
  </r>
  <r>
    <s v="SIP1148"/>
    <s v="2025-07-27"/>
    <x v="2"/>
    <x v="4"/>
    <s v="Sadık"/>
    <n v="7"/>
    <n v="1890.83"/>
    <n v="13235.81"/>
    <n v="2779.56"/>
    <s v="Kredi Kartı"/>
    <n v="1"/>
    <n v="1493.75"/>
    <n v="0.21000301454916626"/>
  </r>
  <r>
    <s v="SIP1149"/>
    <s v="2025-05-20"/>
    <x v="3"/>
    <x v="4"/>
    <s v="Gelişmekte Olan"/>
    <n v="5"/>
    <n v="3961.92"/>
    <n v="19809.599999999999"/>
    <n v="8849.69"/>
    <s v="Havale"/>
    <n v="3"/>
    <n v="2191.982"/>
    <n v="0.44673744043292146"/>
  </r>
  <r>
    <s v="SIP1150"/>
    <s v="2025-10-14"/>
    <x v="1"/>
    <x v="4"/>
    <s v="Potansiyel"/>
    <n v="1"/>
    <n v="1471.09"/>
    <n v="1471.09"/>
    <n v="616.66999999999996"/>
    <s v="Kredi Kartı"/>
    <n v="6"/>
    <n v="854.42"/>
    <n v="0.41919257149460604"/>
  </r>
  <r>
    <s v="SIP1151"/>
    <s v="2025-12-27"/>
    <x v="0"/>
    <x v="4"/>
    <s v="Gelişmekte Olan"/>
    <n v="8"/>
    <n v="474.38"/>
    <n v="3795.04"/>
    <n v="1428.37"/>
    <s v="Havale"/>
    <n v="1"/>
    <n v="295.83375000000001"/>
    <n v="0.37637811459167753"/>
  </r>
  <r>
    <s v="SIP1152"/>
    <s v="2025-11-28"/>
    <x v="7"/>
    <x v="3"/>
    <s v="Gelişmekte Olan"/>
    <n v="6"/>
    <n v="4164.37"/>
    <n v="24986.22"/>
    <n v="5705.81"/>
    <s v="Havale"/>
    <n v="5"/>
    <n v="3213.4016666666666"/>
    <n v="0.22835827107901877"/>
  </r>
  <r>
    <s v="SIP1153"/>
    <s v="2025-11-09"/>
    <x v="10"/>
    <x v="2"/>
    <s v="VIP"/>
    <n v="8"/>
    <n v="4138.5200000000004"/>
    <n v="33108.160000000003"/>
    <n v="11566.3"/>
    <s v="Kredi Kartı"/>
    <n v="1"/>
    <n v="2692.7325000000005"/>
    <n v="0.34934892183679184"/>
  </r>
  <r>
    <s v="SIP1154"/>
    <s v="2025-08-01"/>
    <x v="6"/>
    <x v="4"/>
    <s v="Sadık"/>
    <n v="6"/>
    <n v="241.59"/>
    <n v="1449.54"/>
    <n v="572.20000000000005"/>
    <s v="Kapıda Ödeme"/>
    <n v="6"/>
    <n v="146.22333333333333"/>
    <n v="0.39474591939511849"/>
  </r>
  <r>
    <s v="SIP1155"/>
    <s v="2025-02-26"/>
    <x v="9"/>
    <x v="1"/>
    <s v="Gelişmekte Olan"/>
    <n v="1"/>
    <n v="2735.72"/>
    <n v="2735.72"/>
    <m/>
    <s v="Havale"/>
    <n v="6"/>
    <n v="2735.72"/>
    <n v="0"/>
  </r>
  <r>
    <s v="SIP1156"/>
    <s v="2025-06-20"/>
    <x v="1"/>
    <x v="0"/>
    <s v="Gelişmekte Olan"/>
    <n v="8"/>
    <n v="4660.34"/>
    <n v="37282.720000000001"/>
    <n v="12807.67"/>
    <s v="Kredi Kartı"/>
    <n v="7"/>
    <n v="3059.3812500000004"/>
    <n v="0.34352831553062652"/>
  </r>
  <r>
    <s v="SIP1157"/>
    <s v="2025-04-05"/>
    <x v="7"/>
    <x v="2"/>
    <s v="Sadık"/>
    <n v="2"/>
    <n v="1971.76"/>
    <n v="3943.52"/>
    <n v="650.09"/>
    <s v="Havale"/>
    <n v="1"/>
    <n v="1646.7149999999999"/>
    <n v="0.16485018460664586"/>
  </r>
  <r>
    <s v="SIP1158"/>
    <s v="2025-08-14"/>
    <x v="1"/>
    <x v="0"/>
    <s v="Sadık"/>
    <n v="4"/>
    <n v="1331.99"/>
    <n v="5327.96"/>
    <n v="1064"/>
    <s v="Kapıda Ödeme"/>
    <n v="2"/>
    <n v="1065.99"/>
    <n v="0.19970119895795013"/>
  </r>
  <r>
    <s v="SIP1159"/>
    <s v="2025-03-20"/>
    <x v="8"/>
    <x v="2"/>
    <s v="Gelişmekte Olan"/>
    <n v="6"/>
    <n v="3888.44"/>
    <n v="23330.639999999999"/>
    <n v="8719.6"/>
    <s v="Havale"/>
    <n v="6"/>
    <n v="2435.1733333333332"/>
    <n v="0.37374028316411384"/>
  </r>
  <r>
    <s v="SIP1160"/>
    <s v="2025-11-10"/>
    <x v="6"/>
    <x v="1"/>
    <s v="VIP"/>
    <n v="2"/>
    <n v="3254.02"/>
    <n v="6508.04"/>
    <n v="1363.54"/>
    <s v="Kapıda Ödeme"/>
    <n v="4"/>
    <n v="2572.25"/>
    <n v="0.20951622915655096"/>
  </r>
  <r>
    <s v="SIP1161"/>
    <s v="2025-01-11"/>
    <x v="3"/>
    <x v="0"/>
    <s v="Potansiyel"/>
    <n v="7"/>
    <n v="3601.01"/>
    <n v="25207.07"/>
    <n v="6005.27"/>
    <s v="Kapıda Ödeme"/>
    <n v="2"/>
    <n v="2743.1142857142859"/>
    <n v="0.23823752621784286"/>
  </r>
  <r>
    <s v="SIP1162"/>
    <s v="2025-11-23"/>
    <x v="8"/>
    <x v="1"/>
    <s v="Gelişmekte Olan"/>
    <n v="1"/>
    <n v="544.51"/>
    <n v="544.51"/>
    <n v="226.72"/>
    <s v="Kredi Kartı"/>
    <n v="2"/>
    <n v="317.78999999999996"/>
    <n v="0.41637435492461111"/>
  </r>
  <r>
    <s v="SIP1163"/>
    <s v="2025-10-30"/>
    <x v="6"/>
    <x v="3"/>
    <s v="Sadık"/>
    <n v="1"/>
    <n v="2927.07"/>
    <n v="2927.07"/>
    <n v="1188.33"/>
    <s v="Kapıda Ödeme"/>
    <n v="2"/>
    <n v="1738.7400000000002"/>
    <n v="0.40597935819778819"/>
  </r>
  <r>
    <s v="SIP1164"/>
    <s v="2025-11-25"/>
    <x v="6"/>
    <x v="4"/>
    <s v="Gelişmekte Olan"/>
    <n v="4"/>
    <n v="247.35"/>
    <n v="989.4"/>
    <n v="157.26"/>
    <s v="Havale"/>
    <n v="2"/>
    <n v="208.035"/>
    <n v="0.15894481503941782"/>
  </r>
  <r>
    <s v="SIP1165"/>
    <s v="2025-07-24"/>
    <x v="1"/>
    <x v="3"/>
    <s v="VIP"/>
    <n v="5"/>
    <n v="910.88"/>
    <n v="4554.3999999999996"/>
    <n v="1136.1199999999999"/>
    <s v="Kredi Kartı"/>
    <n v="3"/>
    <n v="683.65599999999995"/>
    <n v="0.24945547163182855"/>
  </r>
  <r>
    <s v="SIP1166"/>
    <s v="2025-03-21"/>
    <x v="2"/>
    <x v="2"/>
    <s v="Gelişmekte Olan"/>
    <n v="2"/>
    <n v="3699.06"/>
    <n v="7398.12"/>
    <n v="977.4"/>
    <s v="Havale"/>
    <n v="6"/>
    <n v="3210.36"/>
    <n v="0.13211464534233022"/>
  </r>
  <r>
    <s v="SIP1167"/>
    <s v="2025-03-24"/>
    <x v="7"/>
    <x v="0"/>
    <s v="VIP"/>
    <n v="1"/>
    <n v="2704.26"/>
    <n v="2704.26"/>
    <n v="721.93"/>
    <s v="Havale"/>
    <n v="5"/>
    <n v="1982.3300000000004"/>
    <n v="0.2669602774881113"/>
  </r>
  <r>
    <s v="SIP1168"/>
    <s v="2025-10-13"/>
    <x v="8"/>
    <x v="4"/>
    <s v="Gelişmekte Olan"/>
    <n v="3"/>
    <n v="470.5"/>
    <n v="1411.5"/>
    <n v="612.78"/>
    <s v="Havale"/>
    <n v="6"/>
    <n v="266.24"/>
    <n v="0.4341339001062699"/>
  </r>
  <r>
    <s v="SIP1169"/>
    <s v="2025-02-24"/>
    <x v="7"/>
    <x v="4"/>
    <s v="Sadık"/>
    <n v="6"/>
    <n v="4711.4399999999996"/>
    <n v="28268.639999999999"/>
    <n v="9037.44"/>
    <s v="Havale"/>
    <n v="3"/>
    <n v="3205.2"/>
    <n v="0.31969843614691051"/>
  </r>
  <r>
    <s v="SIP1170"/>
    <s v="2025-07-12"/>
    <x v="1"/>
    <x v="3"/>
    <s v="Potansiyel"/>
    <n v="5"/>
    <n v="1352.47"/>
    <n v="6762.35"/>
    <n v="2298"/>
    <s v="Kredi Kartı"/>
    <n v="5"/>
    <n v="892.87"/>
    <n v="0.33982269477326665"/>
  </r>
  <r>
    <s v="SIP1171"/>
    <s v="2025-08-29"/>
    <x v="0"/>
    <x v="0"/>
    <s v="Potansiyel"/>
    <n v="1"/>
    <n v="4640.72"/>
    <n v="4640.72"/>
    <n v="984.57"/>
    <s v="Havale"/>
    <n v="2"/>
    <n v="3656.15"/>
    <n v="0.21215888913789238"/>
  </r>
  <r>
    <s v="SIP1172"/>
    <s v="2025-01-21"/>
    <x v="9"/>
    <x v="4"/>
    <s v="VIP"/>
    <n v="2"/>
    <n v="1384.43"/>
    <n v="2768.86"/>
    <n v="959.41"/>
    <s v="Kapıda Ödeme"/>
    <n v="2"/>
    <n v="904.72500000000014"/>
    <n v="0.34650000361159461"/>
  </r>
  <r>
    <s v="SIP1173"/>
    <s v="2025-09-18"/>
    <x v="1"/>
    <x v="2"/>
    <s v="Sadık"/>
    <n v="1"/>
    <n v="1048.27"/>
    <n v="1048.27"/>
    <n v="458.3"/>
    <s v="Kredi Kartı"/>
    <n v="4"/>
    <n v="589.97"/>
    <n v="0.43719652379635021"/>
  </r>
  <r>
    <s v="SIP1174"/>
    <s v="2025-02-20"/>
    <x v="7"/>
    <x v="1"/>
    <s v="Gelişmekte Olan"/>
    <n v="7"/>
    <n v="204.68"/>
    <n v="1432.76"/>
    <n v="345.1"/>
    <s v="Kapıda Ödeme"/>
    <n v="5"/>
    <n v="155.38"/>
    <n v="0.24086378737541531"/>
  </r>
  <r>
    <s v="SIP1175"/>
    <s v="2025-02-24"/>
    <x v="8"/>
    <x v="2"/>
    <s v="Sadık"/>
    <n v="1"/>
    <n v="2419.44"/>
    <n v="2419.44"/>
    <n v="940.84"/>
    <s v="Havale"/>
    <n v="7"/>
    <n v="1478.6"/>
    <n v="0.38886684522038156"/>
  </r>
  <r>
    <s v="SIP1176"/>
    <s v="2025-08-28"/>
    <x v="9"/>
    <x v="4"/>
    <s v="VIP"/>
    <n v="3"/>
    <n v="4975.43"/>
    <n v="14926.29"/>
    <n v="4970.2700000000004"/>
    <s v="Havale"/>
    <n v="4"/>
    <n v="3318.6733333333332"/>
    <n v="0.33298763456960839"/>
  </r>
  <r>
    <s v="SIP1177"/>
    <s v="2025-06-19"/>
    <x v="7"/>
    <x v="0"/>
    <s v="VIP"/>
    <n v="8"/>
    <n v="2247.61"/>
    <n v="17980.88"/>
    <n v="6167.96"/>
    <s v="Havale"/>
    <n v="7"/>
    <n v="1476.6150000000002"/>
    <n v="0.34302881727701867"/>
  </r>
  <r>
    <s v="SIP1178"/>
    <s v="2025-02-16"/>
    <x v="5"/>
    <x v="1"/>
    <s v="Potansiyel"/>
    <n v="2"/>
    <n v="2677.77"/>
    <n v="5355.54"/>
    <m/>
    <s v="Kredi Kartı"/>
    <n v="1"/>
    <n v="2677.77"/>
    <n v="0"/>
  </r>
  <r>
    <s v="SIP1179"/>
    <s v="2025-01-12"/>
    <x v="3"/>
    <x v="0"/>
    <s v="VIP"/>
    <n v="7"/>
    <n v="4589.2"/>
    <n v="32124.400000000001"/>
    <n v="11854.07"/>
    <s v="Kapıda Ödeme"/>
    <n v="3"/>
    <n v="2895.7614285714285"/>
    <n v="0.36900517986328146"/>
  </r>
  <r>
    <s v="SIP1180"/>
    <s v="2025-10-27"/>
    <x v="6"/>
    <x v="4"/>
    <s v="Sadık"/>
    <n v="4"/>
    <n v="2756.36"/>
    <n v="11025.44"/>
    <n v="4827.6499999999996"/>
    <s v="Havale"/>
    <n v="6"/>
    <n v="1549.4475000000002"/>
    <n v="0.43786461129895943"/>
  </r>
  <r>
    <s v="SIP1181"/>
    <s v="2025-09-15"/>
    <x v="4"/>
    <x v="1"/>
    <s v="Potansiyel"/>
    <n v="3"/>
    <n v="1958.67"/>
    <n v="5876.01"/>
    <n v="1780.82"/>
    <s v="Kapıda Ödeme"/>
    <n v="2"/>
    <n v="1365.0633333333335"/>
    <n v="0.30306619627944809"/>
  </r>
  <r>
    <s v="SIP1182"/>
    <s v="2025-05-09"/>
    <x v="2"/>
    <x v="3"/>
    <s v="Gelişmekte Olan"/>
    <n v="7"/>
    <n v="3205.61"/>
    <n v="22439.27"/>
    <n v="6696.46"/>
    <s v="Havale"/>
    <n v="1"/>
    <n v="2248.9728571428573"/>
    <n v="0.29842592918575339"/>
  </r>
  <r>
    <s v="SIP1183"/>
    <s v="2025-06-14"/>
    <x v="8"/>
    <x v="0"/>
    <s v="Potansiyel"/>
    <n v="4"/>
    <n v="657.88"/>
    <n v="2631.52"/>
    <n v="443.07"/>
    <s v="Havale"/>
    <n v="2"/>
    <n v="547.11249999999995"/>
    <n v="0.1683703714963215"/>
  </r>
  <r>
    <s v="SIP1184"/>
    <s v="2025-07-03"/>
    <x v="0"/>
    <x v="3"/>
    <s v="Potansiyel"/>
    <n v="1"/>
    <n v="2440.9299999999998"/>
    <n v="2440.9299999999998"/>
    <n v="716.06"/>
    <s v="Havale"/>
    <n v="2"/>
    <n v="1724.87"/>
    <n v="0.29335540142486677"/>
  </r>
  <r>
    <s v="SIP1185"/>
    <s v="2025-05-01"/>
    <x v="4"/>
    <x v="4"/>
    <s v="Sadık"/>
    <n v="6"/>
    <n v="1239.6099999999999"/>
    <n v="7437.66"/>
    <n v="2140.6799999999998"/>
    <s v="Kredi Kartı"/>
    <n v="5"/>
    <n v="882.82999999999993"/>
    <n v="0.28781632932938583"/>
  </r>
  <r>
    <s v="SIP1186"/>
    <s v="2025-06-04"/>
    <x v="7"/>
    <x v="4"/>
    <s v="Gelişmekte Olan"/>
    <n v="4"/>
    <n v="1180.3"/>
    <n v="4721.2"/>
    <n v="1420.21"/>
    <s v="Kredi Kartı"/>
    <n v="4"/>
    <n v="825.24749999999995"/>
    <n v="0.30081547064305686"/>
  </r>
  <r>
    <s v="SIP1187"/>
    <s v="2025-04-10"/>
    <x v="10"/>
    <x v="3"/>
    <s v="Gelişmekte Olan"/>
    <n v="3"/>
    <n v="274.18"/>
    <n v="822.54"/>
    <n v="205.22"/>
    <s v="Havale"/>
    <n v="5"/>
    <n v="205.77333333333334"/>
    <n v="0.2494954652661269"/>
  </r>
  <r>
    <s v="SIP1188"/>
    <s v="2025-01-26"/>
    <x v="4"/>
    <x v="2"/>
    <s v="VIP"/>
    <n v="4"/>
    <n v="2224.61"/>
    <n v="8898.44"/>
    <n v="2161.4699999999998"/>
    <s v="Kapıda Ödeme"/>
    <n v="2"/>
    <n v="1684.2425000000003"/>
    <n v="0.24290437424986849"/>
  </r>
  <r>
    <s v="SIP1189"/>
    <s v="2025-04-01"/>
    <x v="5"/>
    <x v="0"/>
    <s v="Potansiyel"/>
    <n v="1"/>
    <n v="4241.1499999999996"/>
    <n v="4241.1499999999996"/>
    <n v="1565.2"/>
    <s v="Havale"/>
    <n v="6"/>
    <n v="2675.95"/>
    <n v="0.3690508470579914"/>
  </r>
  <r>
    <s v="SIP1190"/>
    <s v="2025-09-02"/>
    <x v="0"/>
    <x v="1"/>
    <s v="Gelişmekte Olan"/>
    <n v="7"/>
    <n v="257.2"/>
    <n v="1800.4"/>
    <n v="496.68"/>
    <s v="Havale"/>
    <n v="4"/>
    <n v="186.24571428571426"/>
    <n v="0.27587202843812486"/>
  </r>
  <r>
    <s v="SIP1191"/>
    <s v="2025-05-02"/>
    <x v="2"/>
    <x v="1"/>
    <s v="Potansiyel"/>
    <n v="5"/>
    <n v="1922.01"/>
    <n v="9610.0499999999993"/>
    <n v="1506.24"/>
    <s v="Havale"/>
    <n v="7"/>
    <n v="1620.7619999999999"/>
    <n v="0.15673591708679976"/>
  </r>
  <r>
    <s v="SIP1192"/>
    <s v="2025-04-28"/>
    <x v="2"/>
    <x v="2"/>
    <s v="Gelişmekte Olan"/>
    <n v="8"/>
    <n v="2979.59"/>
    <n v="23836.720000000001"/>
    <n v="7825.09"/>
    <s v="Kapıda Ödeme"/>
    <n v="2"/>
    <n v="2001.4537500000001"/>
    <n v="0.32827880681570282"/>
  </r>
  <r>
    <s v="SIP1193"/>
    <s v="2025-08-22"/>
    <x v="7"/>
    <x v="3"/>
    <s v="Sadık"/>
    <n v="7"/>
    <n v="1176.99"/>
    <n v="8238.93"/>
    <n v="2408.5500000000002"/>
    <s v="Kapıda Ödeme"/>
    <n v="4"/>
    <n v="832.91142857142859"/>
    <n v="0.29233771861151875"/>
  </r>
  <r>
    <s v="SIP1194"/>
    <s v="2025-04-13"/>
    <x v="3"/>
    <x v="1"/>
    <s v="Potansiyel"/>
    <n v="5"/>
    <n v="3969.8"/>
    <n v="19849"/>
    <n v="8029.06"/>
    <s v="Kredi Kartı"/>
    <n v="7"/>
    <n v="2363.9880000000003"/>
    <n v="0.40450702806186711"/>
  </r>
  <r>
    <s v="SIP1195"/>
    <s v="2025-03-03"/>
    <x v="0"/>
    <x v="4"/>
    <s v="Potansiyel"/>
    <n v="8"/>
    <n v="3206.01"/>
    <n v="25648.080000000002"/>
    <n v="5461.87"/>
    <s v="Havale"/>
    <n v="4"/>
    <n v="2523.2762500000003"/>
    <n v="0.21295434200142854"/>
  </r>
  <r>
    <s v="SIP1196"/>
    <s v="2025-12-12"/>
    <x v="0"/>
    <x v="3"/>
    <s v="Potansiyel"/>
    <n v="5"/>
    <n v="3680.73"/>
    <n v="18403.650000000001"/>
    <n v="8233.6"/>
    <s v="Havale"/>
    <n v="5"/>
    <n v="2034.01"/>
    <n v="0.44738951240650632"/>
  </r>
  <r>
    <s v="SIP1197"/>
    <s v="2025-05-01"/>
    <x v="7"/>
    <x v="2"/>
    <s v="VIP"/>
    <n v="4"/>
    <n v="1251.6600000000001"/>
    <n v="5006.6400000000003"/>
    <n v="1029.47"/>
    <s v="Kredi Kartı"/>
    <n v="6"/>
    <n v="994.29250000000002"/>
    <n v="0.20562093539779172"/>
  </r>
  <r>
    <s v="SIP1198"/>
    <s v="2025-04-25"/>
    <x v="5"/>
    <x v="3"/>
    <s v="Potansiyel"/>
    <n v="1"/>
    <n v="1761.81"/>
    <n v="1761.81"/>
    <n v="334.12"/>
    <s v="Havale"/>
    <n v="2"/>
    <n v="1427.69"/>
    <n v="0.18964587554844167"/>
  </r>
  <r>
    <s v="SIP1199"/>
    <s v="2025-11-14"/>
    <x v="9"/>
    <x v="2"/>
    <s v="Sadık"/>
    <n v="7"/>
    <n v="878.94"/>
    <n v="6152.58"/>
    <n v="2690.89"/>
    <s v="Havale"/>
    <n v="5"/>
    <n v="494.52714285714291"/>
    <n v="0.43735961174011551"/>
  </r>
  <r>
    <s v="SIP1200"/>
    <s v="2025-12-03"/>
    <x v="9"/>
    <x v="4"/>
    <s v="VIP"/>
    <n v="3"/>
    <n v="3098.54"/>
    <n v="9295.6200000000008"/>
    <n v="3567.77"/>
    <s v="Kredi Kartı"/>
    <n v="7"/>
    <n v="1909.2833333333333"/>
    <n v="0.38381194584115957"/>
  </r>
  <r>
    <s v="SIP1201"/>
    <s v="2025-02-13"/>
    <x v="6"/>
    <x v="3"/>
    <s v="Potansiyel"/>
    <n v="4"/>
    <n v="4308.8900000000003"/>
    <n v="17235.560000000001"/>
    <n v="6338.82"/>
    <s v="Kredi Kartı"/>
    <n v="4"/>
    <n v="2724.1850000000004"/>
    <n v="0.36777569165144613"/>
  </r>
  <r>
    <s v="SIP1202"/>
    <s v="2025-03-14"/>
    <x v="9"/>
    <x v="4"/>
    <s v="VIP"/>
    <n v="7"/>
    <n v="2446.5300000000002"/>
    <n v="17125.71"/>
    <n v="4811.71"/>
    <s v="Kredi Kartı"/>
    <n v="3"/>
    <n v="1759.1428571428573"/>
    <n v="0.28096411769205482"/>
  </r>
  <r>
    <s v="SIP1203"/>
    <s v="2025-12-25"/>
    <x v="4"/>
    <x v="3"/>
    <s v="Sadık"/>
    <n v="5"/>
    <n v="2915.49"/>
    <n v="14577.45"/>
    <n v="3799.87"/>
    <s v="Kredi Kartı"/>
    <n v="4"/>
    <n v="2155.5159999999996"/>
    <n v="0.26066767507348676"/>
  </r>
  <r>
    <s v="SIP1204"/>
    <s v="2025-07-04"/>
    <x v="1"/>
    <x v="0"/>
    <s v="Potansiyel"/>
    <n v="1"/>
    <n v="1316.96"/>
    <n v="1316.96"/>
    <n v="549.12"/>
    <s v="Havale"/>
    <n v="3"/>
    <n v="767.84"/>
    <n v="0.41696027214190257"/>
  </r>
  <r>
    <s v="SIP1205"/>
    <s v="2025-12-09"/>
    <x v="5"/>
    <x v="1"/>
    <s v="VIP"/>
    <n v="7"/>
    <n v="3530.56"/>
    <n v="24713.919999999998"/>
    <n v="7827.19"/>
    <s v="Kredi Kartı"/>
    <n v="6"/>
    <n v="2412.3900000000003"/>
    <n v="0.31671179642889513"/>
  </r>
  <r>
    <s v="SIP1206"/>
    <s v="2025-02-09"/>
    <x v="2"/>
    <x v="0"/>
    <s v="VIP"/>
    <n v="6"/>
    <n v="2701.28"/>
    <n v="16207.68"/>
    <n v="3686.99"/>
    <s v="Kapıda Ödeme"/>
    <n v="2"/>
    <n v="2086.7816666666668"/>
    <n v="0.22748413097988113"/>
  </r>
  <r>
    <s v="SIP1207"/>
    <s v="2025-10-23"/>
    <x v="1"/>
    <x v="1"/>
    <s v="Potansiyel"/>
    <n v="1"/>
    <n v="1304.8"/>
    <n v="1304.8"/>
    <n v="475.24"/>
    <s v="Kredi Kartı"/>
    <n v="7"/>
    <n v="829.56"/>
    <n v="0.36422440220723484"/>
  </r>
  <r>
    <s v="SIP1208"/>
    <s v="2025-11-20"/>
    <x v="5"/>
    <x v="2"/>
    <s v="Sadık"/>
    <n v="8"/>
    <n v="1933.03"/>
    <n v="15464.24"/>
    <n v="4370.78"/>
    <s v="Havale"/>
    <n v="6"/>
    <n v="1386.6824999999999"/>
    <n v="0.28263787939142176"/>
  </r>
  <r>
    <s v="SIP1209"/>
    <s v="2025-02-27"/>
    <x v="6"/>
    <x v="4"/>
    <s v="Gelişmekte Olan"/>
    <n v="7"/>
    <n v="2116.11"/>
    <n v="14812.77"/>
    <n v="6606.88"/>
    <s v="Havale"/>
    <n v="2"/>
    <n v="1172.27"/>
    <n v="0.44602596273350631"/>
  </r>
  <r>
    <s v="SIP1210"/>
    <s v="2025-02-01"/>
    <x v="7"/>
    <x v="3"/>
    <s v="Sadık"/>
    <n v="4"/>
    <n v="4476.5600000000004"/>
    <n v="17906.240000000002"/>
    <n v="6057.15"/>
    <s v="Havale"/>
    <n v="3"/>
    <n v="2962.2725000000005"/>
    <n v="0.33827034597994882"/>
  </r>
  <r>
    <s v="SIP1211"/>
    <s v="2025-06-23"/>
    <x v="4"/>
    <x v="0"/>
    <s v="Gelişmekte Olan"/>
    <n v="3"/>
    <n v="4038.13"/>
    <n v="12114.39"/>
    <n v="3954.4"/>
    <s v="Kapıda Ödeme"/>
    <n v="1"/>
    <n v="2719.9966666666669"/>
    <n v="0.32642171830360422"/>
  </r>
  <r>
    <s v="SIP1212"/>
    <s v="2025-12-30"/>
    <x v="1"/>
    <x v="3"/>
    <s v="VIP"/>
    <n v="8"/>
    <n v="3463.61"/>
    <n v="27708.880000000001"/>
    <n v="5971.93"/>
    <s v="Kapıda Ödeme"/>
    <n v="7"/>
    <n v="2717.1187500000001"/>
    <n v="0.21552404860824401"/>
  </r>
  <r>
    <s v="SIP1213"/>
    <s v="2025-03-25"/>
    <x v="2"/>
    <x v="3"/>
    <s v="VIP"/>
    <n v="3"/>
    <n v="3502.82"/>
    <n v="10508.46"/>
    <n v="4640.7299999999996"/>
    <s v="Kapıda Ödeme"/>
    <n v="6"/>
    <n v="1955.9100000000003"/>
    <n v="0.44161846740626126"/>
  </r>
  <r>
    <s v="SIP1214"/>
    <s v="2025-04-26"/>
    <x v="1"/>
    <x v="1"/>
    <s v="Gelişmekte Olan"/>
    <n v="4"/>
    <n v="1825.27"/>
    <n v="7301.08"/>
    <n v="1409.92"/>
    <s v="Kredi Kartı"/>
    <n v="2"/>
    <n v="1472.79"/>
    <n v="0.19311115615771915"/>
  </r>
  <r>
    <s v="SIP1215"/>
    <s v="2025-08-10"/>
    <x v="5"/>
    <x v="3"/>
    <s v="Sadık"/>
    <n v="4"/>
    <n v="4675.53"/>
    <n v="18702.12"/>
    <n v="3973.98"/>
    <s v="Kapıda Ödeme"/>
    <n v="3"/>
    <n v="3682.0349999999999"/>
    <n v="0.21248820989278222"/>
  </r>
  <r>
    <s v="SIP1216"/>
    <s v="2025-01-09"/>
    <x v="6"/>
    <x v="3"/>
    <s v="Potansiyel"/>
    <n v="5"/>
    <n v="4277.0600000000004"/>
    <n v="21385.3"/>
    <n v="2813.34"/>
    <s v="Havale"/>
    <n v="2"/>
    <n v="3714.3920000000003"/>
    <n v="0.13155485310002665"/>
  </r>
  <r>
    <s v="SIP1217"/>
    <s v="2025-05-05"/>
    <x v="4"/>
    <x v="2"/>
    <s v="Potansiyel"/>
    <n v="5"/>
    <n v="3753.82"/>
    <n v="18769.099999999999"/>
    <m/>
    <s v="Havale"/>
    <n v="4"/>
    <n v="3753.82"/>
    <n v="0"/>
  </r>
  <r>
    <s v="SIP1218"/>
    <s v="2025-03-08"/>
    <x v="8"/>
    <x v="4"/>
    <s v="Sadık"/>
    <n v="8"/>
    <n v="2617.98"/>
    <n v="20943.84"/>
    <n v="8583.11"/>
    <s v="Kredi Kartı"/>
    <n v="7"/>
    <n v="1545.0912499999999"/>
    <n v="0.40981548751327362"/>
  </r>
  <r>
    <s v="SIP1219"/>
    <s v="2025-12-17"/>
    <x v="3"/>
    <x v="0"/>
    <s v="Gelişmekte Olan"/>
    <n v="3"/>
    <n v="266.91000000000003"/>
    <n v="800.73"/>
    <n v="246.67"/>
    <s v="Kredi Kartı"/>
    <n v="7"/>
    <n v="184.6866666666667"/>
    <n v="0.3080563985363356"/>
  </r>
  <r>
    <s v="SIP1220"/>
    <s v="2025-10-20"/>
    <x v="4"/>
    <x v="3"/>
    <s v="Gelişmekte Olan"/>
    <n v="8"/>
    <n v="3527.56"/>
    <n v="28220.48"/>
    <n v="8003.24"/>
    <s v="Havale"/>
    <n v="7"/>
    <n v="2527.1549999999997"/>
    <n v="0.28359687716155074"/>
  </r>
  <r>
    <s v="SIP1221"/>
    <s v="2025-08-01"/>
    <x v="8"/>
    <x v="4"/>
    <s v="Potansiyel"/>
    <n v="1"/>
    <n v="3532.11"/>
    <n v="3532.11"/>
    <n v="744.63"/>
    <s v="Havale"/>
    <n v="4"/>
    <n v="2787.48"/>
    <n v="0.21081733015109946"/>
  </r>
  <r>
    <s v="SIP1222"/>
    <s v="2025-07-23"/>
    <x v="2"/>
    <x v="4"/>
    <s v="Gelişmekte Olan"/>
    <n v="3"/>
    <n v="900.42"/>
    <n v="2701.26"/>
    <n v="973.8"/>
    <s v="Kapıda Ödeme"/>
    <n v="2"/>
    <n v="575.81999999999994"/>
    <n v="0.36049843406410337"/>
  </r>
  <r>
    <s v="SIP1223"/>
    <s v="2025-10-16"/>
    <x v="0"/>
    <x v="3"/>
    <s v="Potansiyel"/>
    <n v="4"/>
    <n v="2339.61"/>
    <n v="9358.44"/>
    <n v="1599.14"/>
    <s v="Kredi Kartı"/>
    <n v="4"/>
    <n v="1939.825"/>
    <n v="0.17087677005996726"/>
  </r>
  <r>
    <s v="SIP1224"/>
    <s v="2025-04-13"/>
    <x v="2"/>
    <x v="2"/>
    <s v="Sadık"/>
    <n v="3"/>
    <n v="2048.8000000000002"/>
    <n v="6146.4"/>
    <n v="942.87"/>
    <s v="Kapıda Ödeme"/>
    <n v="5"/>
    <n v="1734.5100000000002"/>
    <n v="0.15340199140960564"/>
  </r>
  <r>
    <s v="SIP1225"/>
    <s v="2025-02-05"/>
    <x v="4"/>
    <x v="0"/>
    <s v="Gelişmekte Olan"/>
    <n v="6"/>
    <n v="4550.42"/>
    <n v="27302.52"/>
    <n v="6478.2"/>
    <s v="Kapıda Ödeme"/>
    <n v="1"/>
    <n v="3470.7200000000003"/>
    <n v="0.23727480100737952"/>
  </r>
  <r>
    <s v="SIP1226"/>
    <s v="2025-11-14"/>
    <x v="5"/>
    <x v="3"/>
    <s v="Gelişmekte Olan"/>
    <n v="2"/>
    <n v="3263.3"/>
    <n v="6526.6"/>
    <n v="1926.5"/>
    <s v="Kapıda Ödeme"/>
    <n v="2"/>
    <n v="2300.0500000000002"/>
    <n v="0.2951766616615083"/>
  </r>
  <r>
    <s v="SIP1227"/>
    <s v="2025-09-24"/>
    <x v="7"/>
    <x v="4"/>
    <s v="Potansiyel"/>
    <n v="5"/>
    <n v="4696.99"/>
    <n v="23484.95"/>
    <n v="7966.29"/>
    <s v="Kapıda Ödeme"/>
    <n v="5"/>
    <n v="3103.732"/>
    <n v="0.33920830148669678"/>
  </r>
  <r>
    <s v="SIP1228"/>
    <s v="2025-11-12"/>
    <x v="2"/>
    <x v="4"/>
    <s v="Sadık"/>
    <n v="3"/>
    <n v="622.34"/>
    <n v="1867.02"/>
    <n v="327.72"/>
    <s v="Kredi Kartı"/>
    <n v="5"/>
    <n v="513.1"/>
    <n v="0.17553106019217793"/>
  </r>
  <r>
    <s v="SIP1229"/>
    <s v="2025-08-28"/>
    <x v="4"/>
    <x v="1"/>
    <s v="Gelişmekte Olan"/>
    <n v="5"/>
    <n v="4711.6899999999996"/>
    <n v="23558.45"/>
    <n v="4568.6099999999997"/>
    <s v="Kapıda Ödeme"/>
    <n v="2"/>
    <n v="3797.9679999999998"/>
    <n v="0.19392659534052537"/>
  </r>
  <r>
    <s v="SIP1230"/>
    <s v="2025-11-13"/>
    <x v="6"/>
    <x v="1"/>
    <s v="Gelişmekte Olan"/>
    <n v="7"/>
    <n v="3574.86"/>
    <n v="25024.02"/>
    <n v="8144.54"/>
    <s v="Kapıda Ödeme"/>
    <n v="2"/>
    <n v="2411.3542857142857"/>
    <n v="0.32546888949097708"/>
  </r>
  <r>
    <s v="SIP1231"/>
    <s v="2025-01-27"/>
    <x v="1"/>
    <x v="1"/>
    <s v="Potansiyel"/>
    <n v="5"/>
    <n v="2393.58"/>
    <n v="11967.9"/>
    <n v="3694.46"/>
    <s v="Havale"/>
    <n v="7"/>
    <n v="1654.6879999999999"/>
    <n v="0.30869743229806401"/>
  </r>
  <r>
    <s v="SIP1232"/>
    <s v="2025-04-14"/>
    <x v="9"/>
    <x v="3"/>
    <s v="VIP"/>
    <n v="6"/>
    <n v="3345.48"/>
    <n v="20072.88"/>
    <n v="4411.21"/>
    <s v="Kredi Kartı"/>
    <n v="4"/>
    <n v="2610.2783333333332"/>
    <n v="0.21975969566898221"/>
  </r>
  <r>
    <s v="SIP1233"/>
    <s v="2025-02-19"/>
    <x v="2"/>
    <x v="4"/>
    <s v="VIP"/>
    <n v="4"/>
    <n v="2005.05"/>
    <n v="8020.2"/>
    <n v="2560.38"/>
    <s v="Kredi Kartı"/>
    <n v="1"/>
    <n v="1364.9549999999999"/>
    <n v="0.31924141542604922"/>
  </r>
  <r>
    <s v="SIP1234"/>
    <s v="2025-12-13"/>
    <x v="5"/>
    <x v="2"/>
    <s v="Potansiyel"/>
    <n v="8"/>
    <n v="4215.6099999999997"/>
    <n v="33724.879999999997"/>
    <n v="8637.94"/>
    <s v="Kredi Kartı"/>
    <n v="3"/>
    <n v="3135.8674999999994"/>
    <n v="0.25612959927507528"/>
  </r>
  <r>
    <s v="SIP1235"/>
    <s v="2025-06-25"/>
    <x v="8"/>
    <x v="3"/>
    <s v="Potansiyel"/>
    <n v="5"/>
    <n v="3015.34"/>
    <n v="15076.7"/>
    <n v="4305.6499999999996"/>
    <s v="Havale"/>
    <n v="3"/>
    <n v="2154.21"/>
    <n v="0.28558305199413658"/>
  </r>
  <r>
    <s v="SIP1236"/>
    <s v="2025-09-25"/>
    <x v="3"/>
    <x v="1"/>
    <s v="Sadık"/>
    <n v="3"/>
    <n v="4287.96"/>
    <n v="12863.88"/>
    <n v="2943.19"/>
    <s v="Kredi Kartı"/>
    <n v="5"/>
    <n v="3306.8966666666665"/>
    <n v="0.22879488925580777"/>
  </r>
  <r>
    <s v="SIP1237"/>
    <s v="2025-03-30"/>
    <x v="4"/>
    <x v="3"/>
    <s v="Potansiyel"/>
    <n v="1"/>
    <n v="219.16"/>
    <n v="219.16"/>
    <n v="60.81"/>
    <s v="Kapıda Ödeme"/>
    <n v="7"/>
    <n v="158.35"/>
    <n v="0.27746851615258261"/>
  </r>
  <r>
    <s v="SIP1238"/>
    <s v="2025-11-27"/>
    <x v="7"/>
    <x v="0"/>
    <s v="Sadık"/>
    <n v="8"/>
    <n v="4175.7700000000004"/>
    <n v="33406.160000000003"/>
    <n v="5813.44"/>
    <s v="Kredi Kartı"/>
    <n v="4"/>
    <n v="3449.0900000000006"/>
    <n v="0.17402299456148204"/>
  </r>
  <r>
    <s v="SIP1239"/>
    <s v="2025-06-29"/>
    <x v="5"/>
    <x v="4"/>
    <s v="Sadık"/>
    <n v="3"/>
    <n v="3178.05"/>
    <n v="9534.15"/>
    <n v="1693.45"/>
    <s v="Kapıda Ödeme"/>
    <n v="5"/>
    <n v="2613.5666666666666"/>
    <n v="0.17761939973673585"/>
  </r>
  <r>
    <s v="SIP1240"/>
    <s v="2025-01-03"/>
    <x v="8"/>
    <x v="2"/>
    <s v="VIP"/>
    <n v="7"/>
    <n v="4093.7"/>
    <n v="28655.9"/>
    <n v="9925.39"/>
    <s v="Havale"/>
    <n v="5"/>
    <n v="2675.7871428571425"/>
    <n v="0.34636462299212373"/>
  </r>
  <r>
    <s v="SIP1241"/>
    <s v="2025-06-06"/>
    <x v="2"/>
    <x v="2"/>
    <s v="Sadık"/>
    <n v="2"/>
    <n v="547.75"/>
    <n v="1095.5"/>
    <n v="262.08999999999997"/>
    <s v="Kapıda Ödeme"/>
    <n v="4"/>
    <n v="416.70500000000004"/>
    <n v="0.23924235508900044"/>
  </r>
  <r>
    <s v="SIP1242"/>
    <s v="2025-11-27"/>
    <x v="8"/>
    <x v="4"/>
    <s v="Sadık"/>
    <n v="6"/>
    <n v="1929.62"/>
    <n v="11577.72"/>
    <n v="4706.59"/>
    <s v="Kredi Kartı"/>
    <n v="7"/>
    <n v="1145.188333333333"/>
    <n v="0.40652131853249174"/>
  </r>
  <r>
    <s v="SIP1243"/>
    <s v="2025-10-20"/>
    <x v="9"/>
    <x v="1"/>
    <s v="VIP"/>
    <n v="1"/>
    <n v="2890.82"/>
    <n v="2890.82"/>
    <n v="800.87"/>
    <s v="Kredi Kartı"/>
    <n v="2"/>
    <n v="2089.9500000000003"/>
    <n v="0.27703904082578645"/>
  </r>
  <r>
    <s v="SIP1244"/>
    <s v="2025-08-21"/>
    <x v="7"/>
    <x v="2"/>
    <s v="Sadık"/>
    <n v="5"/>
    <n v="4059.3"/>
    <n v="20296.5"/>
    <n v="3170.77"/>
    <s v="Havale"/>
    <n v="5"/>
    <n v="3425.1460000000002"/>
    <n v="0.15622250141650038"/>
  </r>
  <r>
    <s v="SIP1245"/>
    <s v="2025-07-22"/>
    <x v="2"/>
    <x v="0"/>
    <s v="Gelişmekte Olan"/>
    <n v="5"/>
    <n v="3711.82"/>
    <n v="18559.099999999999"/>
    <n v="2825.06"/>
    <s v="Kredi Kartı"/>
    <n v="2"/>
    <n v="3146.808"/>
    <n v="0.15221966582431262"/>
  </r>
  <r>
    <s v="SIP1246"/>
    <s v="2025-04-03"/>
    <x v="1"/>
    <x v="1"/>
    <s v="Potansiyel"/>
    <n v="4"/>
    <n v="4872.1000000000004"/>
    <n v="19488.400000000001"/>
    <n v="6210.14"/>
    <s v="Havale"/>
    <n v="6"/>
    <n v="3319.5650000000005"/>
    <n v="0.3186582787709612"/>
  </r>
  <r>
    <s v="SIP1247"/>
    <s v="2025-11-11"/>
    <x v="1"/>
    <x v="1"/>
    <s v="Gelişmekte Olan"/>
    <n v="3"/>
    <n v="4838.29"/>
    <n v="14514.87"/>
    <n v="2445.52"/>
    <s v="Kredi Kartı"/>
    <n v="2"/>
    <n v="4023.1166666666668"/>
    <n v="0.16848376871442872"/>
  </r>
  <r>
    <s v="SIP1248"/>
    <s v="2025-05-15"/>
    <x v="10"/>
    <x v="4"/>
    <s v="VIP"/>
    <n v="7"/>
    <n v="4256.58"/>
    <n v="29796.06"/>
    <n v="6573.61"/>
    <s v="Kredi Kartı"/>
    <n v="7"/>
    <n v="3317.4928571428572"/>
    <n v="0.22062010883318128"/>
  </r>
  <r>
    <s v="SIP1249"/>
    <s v="2025-07-29"/>
    <x v="0"/>
    <x v="2"/>
    <s v="Gelişmekte Olan"/>
    <n v="6"/>
    <n v="2492.79"/>
    <n v="14956.74"/>
    <n v="3086.67"/>
    <s v="Kredi Kartı"/>
    <n v="5"/>
    <n v="1978.3449999999998"/>
    <n v="0.20637318025184634"/>
  </r>
  <r>
    <s v="SIP1250"/>
    <s v="2025-04-01"/>
    <x v="3"/>
    <x v="3"/>
    <s v="Sadık"/>
    <n v="8"/>
    <n v="1012.49"/>
    <n v="8099.92"/>
    <n v="2301.92"/>
    <s v="Kapıda Ödeme"/>
    <n v="5"/>
    <n v="724.75"/>
    <n v="0.28419046114035695"/>
  </r>
  <r>
    <s v="SIP1251"/>
    <s v="2025-06-10"/>
    <x v="0"/>
    <x v="4"/>
    <s v="Sadık"/>
    <n v="7"/>
    <n v="3697.54"/>
    <n v="25882.78"/>
    <n v="11521.87"/>
    <s v="Kapıda Ödeme"/>
    <n v="1"/>
    <n v="2051.5585714285712"/>
    <n v="0.44515581401997784"/>
  </r>
  <r>
    <s v="SIP1252"/>
    <s v="2025-09-09"/>
    <x v="7"/>
    <x v="4"/>
    <s v="Potansiyel"/>
    <n v="4"/>
    <n v="1082.47"/>
    <n v="4329.88"/>
    <n v="758.82"/>
    <s v="Kapıda Ödeme"/>
    <n v="3"/>
    <n v="892.76499999999999"/>
    <n v="0.17525197003150203"/>
  </r>
  <r>
    <s v="SIP1253"/>
    <s v="2025-12-20"/>
    <x v="5"/>
    <x v="3"/>
    <s v="Gelişmekte Olan"/>
    <n v="5"/>
    <n v="3157.2"/>
    <n v="15786"/>
    <n v="2128.1799999999998"/>
    <s v="Kredi Kartı"/>
    <n v="1"/>
    <n v="2731.5639999999999"/>
    <n v="0.13481439249968324"/>
  </r>
  <r>
    <s v="SIP1254"/>
    <s v="2025-12-26"/>
    <x v="4"/>
    <x v="1"/>
    <s v="Sadık"/>
    <n v="5"/>
    <n v="3450.98"/>
    <n v="17254.900000000001"/>
    <n v="3179.88"/>
    <s v="Kredi Kartı"/>
    <n v="2"/>
    <n v="2815.0039999999999"/>
    <n v="0.18428852094187737"/>
  </r>
  <r>
    <s v="SIP1255"/>
    <s v="2025-04-24"/>
    <x v="0"/>
    <x v="4"/>
    <s v="Sadık"/>
    <n v="6"/>
    <n v="838.37"/>
    <n v="5030.22"/>
    <n v="722.26"/>
    <s v="Kredi Kartı"/>
    <n v="6"/>
    <n v="717.99333333333334"/>
    <n v="0.14358417723280492"/>
  </r>
  <r>
    <s v="SIP1256"/>
    <s v="2025-08-29"/>
    <x v="2"/>
    <x v="2"/>
    <s v="Potansiyel"/>
    <n v="6"/>
    <n v="909.6"/>
    <n v="5457.6"/>
    <n v="1279.9100000000001"/>
    <s v="Kapıda Ödeme"/>
    <n v="5"/>
    <n v="696.28166666666664"/>
    <n v="0.23451883611844035"/>
  </r>
  <r>
    <s v="SIP1257"/>
    <s v="2025-06-30"/>
    <x v="6"/>
    <x v="3"/>
    <s v="Potansiyel"/>
    <n v="3"/>
    <n v="478.75"/>
    <n v="1436.25"/>
    <n v="404.62"/>
    <s v="Havale"/>
    <n v="6"/>
    <n v="343.87666666666667"/>
    <n v="0.28171975630983465"/>
  </r>
  <r>
    <s v="SIP1258"/>
    <s v="2025-03-21"/>
    <x v="8"/>
    <x v="2"/>
    <s v="Sadık"/>
    <n v="5"/>
    <n v="3771.35"/>
    <n v="18856.75"/>
    <n v="7508.48"/>
    <s v="Havale"/>
    <n v="1"/>
    <n v="2269.654"/>
    <n v="0.39818526522332848"/>
  </r>
  <r>
    <s v="SIP1259"/>
    <s v="2025-01-20"/>
    <x v="1"/>
    <x v="4"/>
    <s v="Potansiyel"/>
    <n v="6"/>
    <n v="1502.03"/>
    <n v="9012.18"/>
    <n v="3506.6"/>
    <s v="Kredi Kartı"/>
    <n v="5"/>
    <n v="917.59666666666669"/>
    <n v="0.38909564611448061"/>
  </r>
  <r>
    <s v="SIP1260"/>
    <s v="2025-06-18"/>
    <x v="2"/>
    <x v="2"/>
    <s v="VIP"/>
    <n v="3"/>
    <n v="3740.86"/>
    <n v="11222.58"/>
    <n v="2775.25"/>
    <s v="Kredi Kartı"/>
    <n v="4"/>
    <n v="2815.7766666666666"/>
    <n v="0.24729162099980576"/>
  </r>
  <r>
    <s v="SIP1261"/>
    <s v="2025-11-02"/>
    <x v="8"/>
    <x v="0"/>
    <s v="Potansiyel"/>
    <n v="7"/>
    <n v="3374.03"/>
    <n v="23618.21"/>
    <n v="4231.25"/>
    <s v="Havale"/>
    <n v="4"/>
    <n v="2769.5657142857144"/>
    <n v="0.17915201871776057"/>
  </r>
  <r>
    <s v="SIP1262"/>
    <s v="2025-09-08"/>
    <x v="7"/>
    <x v="1"/>
    <s v="Sadık"/>
    <n v="8"/>
    <n v="1783.27"/>
    <n v="14266.16"/>
    <n v="3165.14"/>
    <s v="Havale"/>
    <n v="1"/>
    <n v="1387.6275000000001"/>
    <n v="0.2218634867406506"/>
  </r>
  <r>
    <s v="SIP1263"/>
    <s v="2025-10-10"/>
    <x v="3"/>
    <x v="0"/>
    <s v="Sadık"/>
    <n v="5"/>
    <n v="1501.59"/>
    <n v="7507.95"/>
    <n v="2217.8000000000002"/>
    <s v="Havale"/>
    <n v="1"/>
    <n v="1058.0299999999997"/>
    <n v="0.29539354950419228"/>
  </r>
  <r>
    <s v="SIP1264"/>
    <s v="2025-01-17"/>
    <x v="6"/>
    <x v="2"/>
    <s v="VIP"/>
    <n v="2"/>
    <n v="4034.12"/>
    <n v="8068.24"/>
    <n v="1523.62"/>
    <s v="Havale"/>
    <n v="5"/>
    <n v="3272.31"/>
    <n v="0.18884168046562819"/>
  </r>
  <r>
    <s v="SIP1265"/>
    <s v="2025-11-04"/>
    <x v="4"/>
    <x v="1"/>
    <s v="Gelişmekte Olan"/>
    <n v="5"/>
    <n v="4096.43"/>
    <n v="20482.150000000001"/>
    <n v="2588.38"/>
    <s v="Havale"/>
    <n v="4"/>
    <n v="3578.7540000000004"/>
    <n v="0.1263724755457801"/>
  </r>
  <r>
    <s v="SIP1266"/>
    <s v="2025-03-06"/>
    <x v="4"/>
    <x v="1"/>
    <s v="Potansiyel"/>
    <n v="3"/>
    <n v="1330.62"/>
    <n v="3991.86"/>
    <n v="1114.6199999999999"/>
    <s v="Kapıda Ödeme"/>
    <n v="4"/>
    <n v="959.07999999999993"/>
    <n v="0.2792232192511761"/>
  </r>
  <r>
    <s v="SIP1267"/>
    <s v="2025-01-22"/>
    <x v="4"/>
    <x v="4"/>
    <s v="Potansiyel"/>
    <n v="1"/>
    <n v="879.45"/>
    <n v="879.45"/>
    <n v="148.5"/>
    <s v="Havale"/>
    <n v="6"/>
    <n v="730.95"/>
    <n v="0.16885553470919323"/>
  </r>
  <r>
    <s v="SIP1268"/>
    <s v="2025-04-01"/>
    <x v="3"/>
    <x v="1"/>
    <s v="Potansiyel"/>
    <n v="8"/>
    <n v="2335.9299999999998"/>
    <n v="18687.439999999999"/>
    <n v="8161.88"/>
    <s v="Havale"/>
    <n v="7"/>
    <n v="1315.6949999999997"/>
    <n v="0.43675752269973844"/>
  </r>
  <r>
    <s v="SIP1269"/>
    <s v="2025-10-21"/>
    <x v="4"/>
    <x v="2"/>
    <s v="Gelişmekte Olan"/>
    <n v="2"/>
    <n v="3429.61"/>
    <n v="6859.22"/>
    <n v="1859.03"/>
    <s v="Kapıda Ödeme"/>
    <n v="1"/>
    <n v="2500.0950000000003"/>
    <n v="0.27102644323990188"/>
  </r>
  <r>
    <s v="SIP1270"/>
    <s v="2025-10-22"/>
    <x v="10"/>
    <x v="4"/>
    <s v="VIP"/>
    <n v="1"/>
    <n v="1964.84"/>
    <n v="1964.84"/>
    <m/>
    <s v="Havale"/>
    <n v="7"/>
    <n v="1964.84"/>
    <n v="0"/>
  </r>
  <r>
    <s v="SIP1271"/>
    <s v="2025-12-23"/>
    <x v="9"/>
    <x v="4"/>
    <s v="Gelişmekte Olan"/>
    <n v="3"/>
    <n v="3265.75"/>
    <n v="9797.25"/>
    <n v="3132.44"/>
    <s v="Kredi Kartı"/>
    <n v="7"/>
    <n v="2221.6033333333335"/>
    <n v="0.31972645385184617"/>
  </r>
  <r>
    <s v="SIP1272"/>
    <s v="2025-06-30"/>
    <x v="2"/>
    <x v="4"/>
    <s v="Gelişmekte Olan"/>
    <n v="2"/>
    <n v="4896.1899999999996"/>
    <n v="9792.3799999999992"/>
    <n v="3505.66"/>
    <s v="Havale"/>
    <n v="4"/>
    <n v="3143.3599999999997"/>
    <n v="0.35799877047255113"/>
  </r>
  <r>
    <s v="SIP1273"/>
    <s v="2025-08-29"/>
    <x v="6"/>
    <x v="3"/>
    <s v="VIP"/>
    <n v="8"/>
    <n v="3980.43"/>
    <n v="31843.439999999999"/>
    <n v="10708.19"/>
    <s v="Kredi Kartı"/>
    <n v="6"/>
    <n v="2641.90625"/>
    <n v="0.33627616865514531"/>
  </r>
  <r>
    <s v="SIP1274"/>
    <s v="2025-07-20"/>
    <x v="3"/>
    <x v="0"/>
    <s v="Gelişmekte Olan"/>
    <n v="5"/>
    <n v="231.1"/>
    <n v="1155.5"/>
    <n v="387.74"/>
    <s v="Kapıda Ödeme"/>
    <n v="6"/>
    <n v="153.55199999999999"/>
    <n v="0.33556036347901341"/>
  </r>
  <r>
    <s v="SIP1275"/>
    <s v="2025-01-04"/>
    <x v="0"/>
    <x v="2"/>
    <s v="Potansiyel"/>
    <n v="4"/>
    <n v="3306.11"/>
    <n v="13224.44"/>
    <n v="3322.85"/>
    <s v="Kredi Kartı"/>
    <n v="1"/>
    <n v="2475.3975"/>
    <n v="0.25126583809976072"/>
  </r>
  <r>
    <s v="SIP1276"/>
    <s v="2025-10-23"/>
    <x v="2"/>
    <x v="3"/>
    <s v="VIP"/>
    <n v="2"/>
    <n v="1823.1"/>
    <n v="3646.2"/>
    <n v="1399.54"/>
    <s v="Kredi Kartı"/>
    <n v="2"/>
    <n v="1123.33"/>
    <n v="0.38383522571444245"/>
  </r>
  <r>
    <s v="SIP1277"/>
    <s v="2025-09-03"/>
    <x v="6"/>
    <x v="3"/>
    <s v="Gelişmekte Olan"/>
    <n v="3"/>
    <n v="4188.18"/>
    <n v="12564.54"/>
    <n v="2731.43"/>
    <s v="Kapıda Ödeme"/>
    <n v="1"/>
    <n v="3277.7033333333338"/>
    <n v="0.21739196182271692"/>
  </r>
  <r>
    <s v="SIP1278"/>
    <s v="2025-11-19"/>
    <x v="8"/>
    <x v="2"/>
    <s v="VIP"/>
    <n v="4"/>
    <n v="2398.4899999999998"/>
    <n v="9593.9599999999991"/>
    <m/>
    <s v="Havale"/>
    <n v="3"/>
    <n v="2398.4899999999998"/>
    <n v="0"/>
  </r>
  <r>
    <s v="SIP1279"/>
    <s v="2025-12-09"/>
    <x v="8"/>
    <x v="2"/>
    <s v="Potansiyel"/>
    <n v="2"/>
    <n v="3476.56"/>
    <n v="6953.12"/>
    <n v="1546.5"/>
    <s v="Kapıda Ödeme"/>
    <n v="4"/>
    <n v="2703.31"/>
    <n v="0.22241813746922245"/>
  </r>
  <r>
    <s v="SIP1280"/>
    <s v="2025-06-30"/>
    <x v="3"/>
    <x v="4"/>
    <s v="Sadık"/>
    <n v="8"/>
    <n v="639.35"/>
    <n v="5114.8"/>
    <n v="1408.71"/>
    <s v="Kapıda Ödeme"/>
    <n v="1"/>
    <n v="463.26125000000002"/>
    <n v="0.27541839368108234"/>
  </r>
  <r>
    <s v="SIP1281"/>
    <s v="2025-01-17"/>
    <x v="6"/>
    <x v="4"/>
    <s v="VIP"/>
    <n v="3"/>
    <n v="3822.81"/>
    <n v="11468.43"/>
    <m/>
    <s v="Havale"/>
    <n v="4"/>
    <n v="3822.81"/>
    <n v="0"/>
  </r>
  <r>
    <s v="SIP1282"/>
    <s v="2025-11-06"/>
    <x v="2"/>
    <x v="1"/>
    <s v="Potansiyel"/>
    <n v="3"/>
    <n v="1902.69"/>
    <n v="5708.07"/>
    <n v="1429.73"/>
    <s v="Kapıda Ödeme"/>
    <n v="1"/>
    <n v="1426.1133333333335"/>
    <n v="0.25047520440359"/>
  </r>
  <r>
    <s v="SIP1283"/>
    <s v="2025-12-08"/>
    <x v="10"/>
    <x v="3"/>
    <s v="Sadık"/>
    <n v="6"/>
    <n v="3280.9"/>
    <n v="19685.400000000001"/>
    <n v="7997.91"/>
    <s v="Havale"/>
    <n v="3"/>
    <n v="1947.9150000000002"/>
    <n v="0.40628638483342983"/>
  </r>
  <r>
    <s v="SIP1284"/>
    <s v="2025-06-24"/>
    <x v="0"/>
    <x v="2"/>
    <s v="Sadık"/>
    <n v="6"/>
    <n v="539.6"/>
    <n v="3237.6"/>
    <n v="744.84"/>
    <s v="Havale"/>
    <n v="7"/>
    <n v="415.46000000000004"/>
    <n v="0.23005930318754636"/>
  </r>
  <r>
    <s v="SIP1285"/>
    <s v="2025-05-25"/>
    <x v="1"/>
    <x v="0"/>
    <s v="Gelişmekte Olan"/>
    <n v="8"/>
    <n v="1676.73"/>
    <n v="13413.84"/>
    <n v="3920.41"/>
    <s v="Havale"/>
    <n v="1"/>
    <n v="1186.67875"/>
    <n v="0.29226604760456365"/>
  </r>
  <r>
    <s v="SIP1286"/>
    <s v="2025-08-05"/>
    <x v="5"/>
    <x v="4"/>
    <s v="Potansiyel"/>
    <n v="1"/>
    <n v="4363.5600000000004"/>
    <n v="4363.5600000000004"/>
    <n v="1386.78"/>
    <s v="Kredi Kartı"/>
    <n v="1"/>
    <n v="2976.7800000000007"/>
    <n v="0.31780931166295406"/>
  </r>
  <r>
    <s v="SIP1287"/>
    <s v="2025-12-20"/>
    <x v="3"/>
    <x v="0"/>
    <s v="Potansiyel"/>
    <n v="5"/>
    <n v="4263.4399999999996"/>
    <n v="21317.200000000001"/>
    <n v="8838.24"/>
    <s v="Kapıda Ödeme"/>
    <n v="5"/>
    <n v="2495.7919999999995"/>
    <n v="0.41460604582215299"/>
  </r>
  <r>
    <s v="SIP1288"/>
    <s v="2025-03-11"/>
    <x v="1"/>
    <x v="4"/>
    <s v="Gelişmekte Olan"/>
    <n v="5"/>
    <n v="289.48"/>
    <n v="1447.4"/>
    <n v="289.14999999999998"/>
    <s v="Kapıda Ödeme"/>
    <n v="2"/>
    <n v="231.65000000000003"/>
    <n v="0.1997720049744369"/>
  </r>
  <r>
    <s v="SIP1289"/>
    <s v="2025-10-17"/>
    <x v="0"/>
    <x v="1"/>
    <s v="Gelişmekte Olan"/>
    <n v="5"/>
    <n v="2975.83"/>
    <n v="14879.15"/>
    <n v="2516.67"/>
    <s v="Kapıda Ödeme"/>
    <n v="7"/>
    <n v="2472.4960000000001"/>
    <n v="0.16914071032283431"/>
  </r>
  <r>
    <s v="SIP1290"/>
    <s v="2025-06-22"/>
    <x v="9"/>
    <x v="2"/>
    <s v="Gelişmekte Olan"/>
    <n v="3"/>
    <n v="2497.91"/>
    <n v="7493.73"/>
    <n v="3087.56"/>
    <s v="Havale"/>
    <n v="3"/>
    <n v="1468.7233333333331"/>
    <n v="0.41201911464651114"/>
  </r>
  <r>
    <s v="SIP1291"/>
    <s v="2025-09-10"/>
    <x v="2"/>
    <x v="3"/>
    <s v="Gelişmekte Olan"/>
    <n v="8"/>
    <n v="3470.61"/>
    <n v="27764.880000000001"/>
    <n v="5536.43"/>
    <s v="Havale"/>
    <n v="4"/>
    <n v="2778.5562500000001"/>
    <n v="0.19940406729652713"/>
  </r>
  <r>
    <s v="SIP1292"/>
    <s v="2025-07-15"/>
    <x v="9"/>
    <x v="2"/>
    <s v="Gelişmekte Olan"/>
    <n v="8"/>
    <n v="2736.11"/>
    <n v="21888.880000000001"/>
    <n v="6235.66"/>
    <s v="Kapıda Ödeme"/>
    <n v="6"/>
    <n v="1956.6525000000001"/>
    <n v="0.2848779837067954"/>
  </r>
  <r>
    <s v="SIP1293"/>
    <s v="2025-02-19"/>
    <x v="2"/>
    <x v="3"/>
    <s v="Potansiyel"/>
    <n v="8"/>
    <n v="984.5"/>
    <n v="7876"/>
    <n v="3446.33"/>
    <s v="Kredi Kartı"/>
    <n v="1"/>
    <n v="553.70875000000001"/>
    <n v="0.4375736414423565"/>
  </r>
  <r>
    <s v="SIP1294"/>
    <s v="2025-06-11"/>
    <x v="6"/>
    <x v="1"/>
    <s v="VIP"/>
    <n v="5"/>
    <n v="4785.54"/>
    <n v="23927.7"/>
    <m/>
    <s v="Kredi Kartı"/>
    <n v="2"/>
    <n v="4785.54"/>
    <n v="0"/>
  </r>
  <r>
    <s v="SIP1295"/>
    <s v="2025-05-23"/>
    <x v="2"/>
    <x v="4"/>
    <s v="Sadık"/>
    <n v="5"/>
    <n v="4705.47"/>
    <n v="23527.35"/>
    <n v="8904.19"/>
    <s v="Kapıda Ödeme"/>
    <n v="1"/>
    <n v="2924.6320000000001"/>
    <n v="0.37846123766595052"/>
  </r>
  <r>
    <s v="SIP1296"/>
    <s v="2025-02-26"/>
    <x v="3"/>
    <x v="4"/>
    <s v="VIP"/>
    <n v="1"/>
    <n v="2967.82"/>
    <n v="2967.82"/>
    <n v="1107.5"/>
    <s v="Kapıda Ödeme"/>
    <n v="3"/>
    <n v="1860.3200000000002"/>
    <n v="0.37316953184492319"/>
  </r>
  <r>
    <s v="SIP1297"/>
    <s v="2025-10-05"/>
    <x v="7"/>
    <x v="2"/>
    <s v="VIP"/>
    <n v="4"/>
    <n v="4090.67"/>
    <n v="16362.68"/>
    <n v="6511.76"/>
    <s v="Kredi Kartı"/>
    <n v="1"/>
    <n v="2462.73"/>
    <n v="0.39796414768240901"/>
  </r>
  <r>
    <s v="SIP1298"/>
    <s v="2025-09-11"/>
    <x v="0"/>
    <x v="2"/>
    <s v="VIP"/>
    <n v="5"/>
    <n v="1965.78"/>
    <n v="9828.9"/>
    <n v="2184.0100000000002"/>
    <s v="Havale"/>
    <n v="3"/>
    <n v="1528.9780000000001"/>
    <n v="0.22220289147310485"/>
  </r>
  <r>
    <s v="SIP1299"/>
    <s v="2025-10-21"/>
    <x v="0"/>
    <x v="4"/>
    <s v="Gelişmekte Olan"/>
    <n v="6"/>
    <n v="3289.28"/>
    <n v="19735.68"/>
    <n v="6082.48"/>
    <s v="Havale"/>
    <n v="3"/>
    <n v="2275.5333333333338"/>
    <n v="0.30819713331387616"/>
  </r>
  <r>
    <s v="SIP1300"/>
    <s v="2025-09-01"/>
    <x v="9"/>
    <x v="0"/>
    <s v="Potansiyel"/>
    <n v="2"/>
    <n v="1495.09"/>
    <n v="2990.18"/>
    <m/>
    <s v="Havale"/>
    <n v="2"/>
    <n v="1495.09"/>
    <n v="0"/>
  </r>
  <r>
    <s v="SIP1301"/>
    <s v="2025-10-10"/>
    <x v="7"/>
    <x v="0"/>
    <s v="VIP"/>
    <n v="4"/>
    <n v="3554.18"/>
    <n v="14216.72"/>
    <n v="4005.21"/>
    <s v="Kapıda Ödeme"/>
    <n v="6"/>
    <n v="2552.8774999999996"/>
    <n v="0.281725320608410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chartFormat="4">
  <location ref="A1:C13" firstHeaderRow="0" firstDataRow="1" firstDataCol="1"/>
  <pivotFields count="14">
    <pivotField showAll="0"/>
    <pivotField showAll="0"/>
    <pivotField axis="axisRow" showAll="0">
      <items count="12">
        <item x="6"/>
        <item x="3"/>
        <item x="4"/>
        <item x="7"/>
        <item x="5"/>
        <item x="2"/>
        <item x="9"/>
        <item x="8"/>
        <item x="0"/>
        <item x="1"/>
        <item x="10"/>
        <item t="default"/>
      </items>
    </pivotField>
    <pivotField showAll="0"/>
    <pivotField showAll="0"/>
    <pivotField showAll="0"/>
    <pivotField numFmtId="164" showAll="0"/>
    <pivotField dataField="1" numFmtId="164" showAll="0"/>
    <pivotField dataField="1" showAll="0"/>
    <pivotField showAll="0"/>
    <pivotField showAll="0"/>
    <pivotField numFmtId="164" showAll="0"/>
    <pivotField numFmtId="9" showAll="0" defaultSubtotal="0"/>
    <pivotField dragToRow="0" dragToCol="0" dragToPage="0" showAll="0" defaultSubtota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Toplam_Ciro" fld="7" baseField="2" baseItem="6"/>
    <dataField name="Toplam Toplam_Kar" fld="8" baseField="2" baseItem="0"/>
  </dataFields>
  <formats count="2">
    <format dxfId="12">
      <pivotArea dataOnly="0" outline="0" fieldPosition="0">
        <references count="1">
          <reference field="4294967294" count="1">
            <x v="1"/>
          </reference>
        </references>
      </pivotArea>
    </format>
    <format dxfId="11">
      <pivotArea dataOnly="0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chartFormat="2">
  <location ref="A1:D7" firstHeaderRow="0" firstDataRow="1" firstDataCol="1"/>
  <pivotFields count="14">
    <pivotField showAll="0"/>
    <pivotField showAll="0"/>
    <pivotField showAll="0">
      <items count="12">
        <item h="1" x="6"/>
        <item h="1" x="3"/>
        <item h="1" x="4"/>
        <item h="1" x="7"/>
        <item h="1" x="5"/>
        <item h="1" x="2"/>
        <item x="9"/>
        <item h="1" x="8"/>
        <item h="1" x="0"/>
        <item h="1" x="1"/>
        <item h="1" x="10"/>
        <item t="default"/>
      </items>
    </pivotField>
    <pivotField axis="axisRow" showAll="0">
      <items count="6">
        <item x="2"/>
        <item x="4"/>
        <item x="1"/>
        <item x="0"/>
        <item x="3"/>
        <item t="default"/>
      </items>
    </pivotField>
    <pivotField showAll="0"/>
    <pivotField showAll="0"/>
    <pivotField numFmtId="164" showAll="0"/>
    <pivotField dataField="1" numFmtId="164" showAll="0"/>
    <pivotField dataField="1" showAll="0"/>
    <pivotField showAll="0"/>
    <pivotField showAll="0"/>
    <pivotField numFmtId="164" showAll="0"/>
    <pivotField numFmtId="9" showAll="0"/>
    <pivotField dataField="1"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plam Toplam_Ciro" fld="7" baseField="0" baseItem="0"/>
    <dataField name="Toplam Toplam_Kar" fld="8" baseField="3" baseItem="0"/>
    <dataField name="Hesaplanmış_Kar_Marjı" fld="13" baseField="0" baseItem="0"/>
  </dataFields>
  <formats count="3">
    <format dxfId="10">
      <pivotArea dataOnly="0" outline="0" fieldPosition="0">
        <references count="1">
          <reference field="4294967294" count="1">
            <x v="0"/>
          </reference>
        </references>
      </pivotArea>
    </format>
    <format dxfId="9">
      <pivotArea dataOnly="0" outline="0" fieldPosition="0">
        <references count="1">
          <reference field="4294967294" count="1">
            <x v="1"/>
          </reference>
        </references>
      </pivotArea>
    </format>
    <format dxfId="8">
      <pivotArea dataOnly="0" outline="0" fieldPosition="0">
        <references count="1">
          <reference field="4294967294" count="1">
            <x v="2"/>
          </reference>
        </references>
      </pivotArea>
    </format>
  </formats>
  <chartFormats count="6">
    <chartFormat chart="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Sehir" sourceName="Sehir">
  <pivotTables>
    <pivotTable tabId="3" name="PivotTable1"/>
  </pivotTables>
  <data>
    <tabular pivotCacheId="1">
      <items count="11">
        <i x="6" s="1"/>
        <i x="3" s="1"/>
        <i x="4" s="1"/>
        <i x="7" s="1"/>
        <i x="5" s="1"/>
        <i x="2" s="1"/>
        <i x="9" s="1"/>
        <i x="8" s="1"/>
        <i x="0" s="1"/>
        <i x="1" s="1"/>
        <i x="1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Sehir1" sourceName="Sehir">
  <pivotTables>
    <pivotTable tabId="5" name="PivotTable1"/>
  </pivotTables>
  <data>
    <tabular pivotCacheId="1">
      <items count="11">
        <i x="6"/>
        <i x="3"/>
        <i x="4"/>
        <i x="7"/>
        <i x="5"/>
        <i x="2"/>
        <i x="9" s="1"/>
        <i x="8"/>
        <i x="0"/>
        <i x="1"/>
        <i x="10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Kategori" sourceName="Kategori">
  <pivotTables>
    <pivotTable tabId="5" name="PivotTable1"/>
  </pivotTables>
  <data>
    <tabular pivotCacheId="1">
      <items count="5">
        <i x="2" s="1"/>
        <i x="4" s="1"/>
        <i x="1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hir" cache="Dilimleyici_Sehir" caption="Sehir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hir 1" cache="Dilimleyici_Sehir1" caption="Sehir" startItem="2" rowHeight="234950"/>
  <slicer name="Kategori" cache="Dilimleyici_Kategori" caption="Kategori" rowHeight="234950"/>
</slicers>
</file>

<file path=xl/tables/table1.xml><?xml version="1.0" encoding="utf-8"?>
<table xmlns="http://schemas.openxmlformats.org/spreadsheetml/2006/main" id="1" name="Tablo1" displayName="Tablo1" ref="A1:M301" totalsRowShown="0" headerRowDxfId="7">
  <autoFilter ref="A1:M301"/>
  <tableColumns count="13">
    <tableColumn id="1" name="Siparis_ID"/>
    <tableColumn id="2" name="Tarih"/>
    <tableColumn id="3" name="Sehir"/>
    <tableColumn id="4" name="Kategori"/>
    <tableColumn id="5" name="Musteri_Segmenti"/>
    <tableColumn id="6" name="Urun_Adedi"/>
    <tableColumn id="7" name="Birim_Fiyat" dataDxfId="6" totalsRowDxfId="5"/>
    <tableColumn id="8" name="Toplam_Ciro" dataDxfId="4" totalsRowDxfId="3"/>
    <tableColumn id="9" name="Toplam_Kar" dataDxfId="2" totalsRowDxfId="1"/>
    <tableColumn id="10" name="Odeme_Tipi"/>
    <tableColumn id="11" name="Kargo_Suresi_Gun"/>
    <tableColumn id="12" name="Kar_marjı" dataCellStyle="Yüzde">
      <calculatedColumnFormula>Tablo1[[#This Row],[Toplam_Kar]]/Tablo1[[#This Row],[Toplam_Ciro]]</calculatedColumnFormula>
    </tableColumn>
    <tableColumn id="15" name="Alış_Fiyatı" dataDxfId="0">
      <calculatedColumnFormula>Tablo1[[#This Row],[Birim_Fiyat]]-(Tablo1[[#This Row],[Toplam_Kar]]/Tablo1[[#This Row],[Urun_Adedi]])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showGridLines="0" tabSelected="1" workbookViewId="0">
      <selection activeCell="A2" sqref="A2:A11"/>
    </sheetView>
  </sheetViews>
  <sheetFormatPr defaultRowHeight="14.4" x14ac:dyDescent="0.3"/>
  <cols>
    <col min="1" max="1" width="14.77734375" bestFit="1" customWidth="1"/>
    <col min="2" max="2" width="18.6640625" customWidth="1"/>
    <col min="3" max="3" width="18.109375" customWidth="1"/>
    <col min="4" max="4" width="16" bestFit="1" customWidth="1"/>
  </cols>
  <sheetData>
    <row r="1" spans="1:3" x14ac:dyDescent="0.3">
      <c r="A1" s="6" t="s">
        <v>541</v>
      </c>
      <c r="B1" s="3" t="s">
        <v>544</v>
      </c>
      <c r="C1" s="3" t="s">
        <v>545</v>
      </c>
    </row>
    <row r="2" spans="1:3" x14ac:dyDescent="0.3">
      <c r="A2" s="7" t="s">
        <v>53</v>
      </c>
      <c r="B2" s="3">
        <v>292831.86</v>
      </c>
      <c r="C2" s="3">
        <v>82649.89999999998</v>
      </c>
    </row>
    <row r="3" spans="1:3" x14ac:dyDescent="0.3">
      <c r="A3" s="7" t="s">
        <v>32</v>
      </c>
      <c r="B3" s="3">
        <v>334826.76</v>
      </c>
      <c r="C3" s="3">
        <v>94638.180000000022</v>
      </c>
    </row>
    <row r="4" spans="1:3" x14ac:dyDescent="0.3">
      <c r="A4" s="7" t="s">
        <v>39</v>
      </c>
      <c r="B4" s="3">
        <v>313548.06</v>
      </c>
      <c r="C4" s="3">
        <v>80442.97</v>
      </c>
    </row>
    <row r="5" spans="1:3" x14ac:dyDescent="0.3">
      <c r="A5" s="7" t="s">
        <v>61</v>
      </c>
      <c r="B5" s="3">
        <v>400799.64</v>
      </c>
      <c r="C5" s="3">
        <v>106906.93000000001</v>
      </c>
    </row>
    <row r="6" spans="1:3" x14ac:dyDescent="0.3">
      <c r="A6" s="7" t="s">
        <v>44</v>
      </c>
      <c r="B6" s="3">
        <v>419549.64999999997</v>
      </c>
      <c r="C6" s="3">
        <v>106812.66999999998</v>
      </c>
    </row>
    <row r="7" spans="1:3" x14ac:dyDescent="0.3">
      <c r="A7" s="7" t="s">
        <v>27</v>
      </c>
      <c r="B7" s="3">
        <v>363137.81999999995</v>
      </c>
      <c r="C7" s="3">
        <v>106361.11999999998</v>
      </c>
    </row>
    <row r="8" spans="1:3" x14ac:dyDescent="0.3">
      <c r="A8" s="7" t="s">
        <v>114</v>
      </c>
      <c r="B8" s="3">
        <v>343637.99</v>
      </c>
      <c r="C8" s="3">
        <v>81238.740000000005</v>
      </c>
    </row>
    <row r="9" spans="1:3" x14ac:dyDescent="0.3">
      <c r="A9" s="7" t="s">
        <v>70</v>
      </c>
      <c r="B9" s="3">
        <v>340268.82</v>
      </c>
      <c r="C9" s="3">
        <v>101271.19999999998</v>
      </c>
    </row>
    <row r="10" spans="1:3" x14ac:dyDescent="0.3">
      <c r="A10" s="7" t="s">
        <v>13</v>
      </c>
      <c r="B10" s="3">
        <v>317508.61</v>
      </c>
      <c r="C10" s="3">
        <v>84667.76999999999</v>
      </c>
    </row>
    <row r="11" spans="1:3" x14ac:dyDescent="0.3">
      <c r="A11" s="7" t="s">
        <v>19</v>
      </c>
      <c r="B11" s="3">
        <v>294237.94</v>
      </c>
      <c r="C11" s="3">
        <v>78294.820000000007</v>
      </c>
    </row>
    <row r="12" spans="1:3" x14ac:dyDescent="0.3">
      <c r="A12" s="7" t="s">
        <v>542</v>
      </c>
      <c r="B12" s="3">
        <v>132245.13999999998</v>
      </c>
      <c r="C12" s="3">
        <v>37963.850000000006</v>
      </c>
    </row>
    <row r="13" spans="1:3" x14ac:dyDescent="0.3">
      <c r="A13" s="7" t="s">
        <v>543</v>
      </c>
      <c r="B13" s="3">
        <v>3552592.2899999991</v>
      </c>
      <c r="C13" s="3">
        <v>961248.15</v>
      </c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showGridLines="0" workbookViewId="0">
      <selection activeCell="L26" sqref="L26"/>
    </sheetView>
  </sheetViews>
  <sheetFormatPr defaultRowHeight="14.4" x14ac:dyDescent="0.3"/>
  <cols>
    <col min="1" max="1" width="14.77734375" bestFit="1" customWidth="1"/>
    <col min="2" max="2" width="18.6640625" bestFit="1" customWidth="1"/>
    <col min="3" max="3" width="18.109375" bestFit="1" customWidth="1"/>
    <col min="4" max="4" width="21" bestFit="1" customWidth="1"/>
    <col min="5" max="5" width="12.5546875" bestFit="1" customWidth="1"/>
  </cols>
  <sheetData>
    <row r="1" spans="1:4" x14ac:dyDescent="0.3">
      <c r="A1" s="6" t="s">
        <v>541</v>
      </c>
      <c r="B1" s="3" t="s">
        <v>544</v>
      </c>
      <c r="C1" s="3" t="s">
        <v>545</v>
      </c>
      <c r="D1" s="10" t="s">
        <v>547</v>
      </c>
    </row>
    <row r="2" spans="1:4" x14ac:dyDescent="0.3">
      <c r="A2" s="7" t="s">
        <v>28</v>
      </c>
      <c r="B2" s="3">
        <v>149005.98000000001</v>
      </c>
      <c r="C2" s="3">
        <v>35910.339999999997</v>
      </c>
      <c r="D2" s="10">
        <v>0.24099932096684976</v>
      </c>
    </row>
    <row r="3" spans="1:4" x14ac:dyDescent="0.3">
      <c r="A3" s="7" t="s">
        <v>58</v>
      </c>
      <c r="B3" s="3">
        <v>81857.540000000008</v>
      </c>
      <c r="C3" s="3">
        <v>23408.66</v>
      </c>
      <c r="D3" s="10">
        <v>0.28596828099158611</v>
      </c>
    </row>
    <row r="4" spans="1:4" x14ac:dyDescent="0.3">
      <c r="A4" s="7" t="s">
        <v>23</v>
      </c>
      <c r="B4" s="3">
        <v>9178.84</v>
      </c>
      <c r="C4" s="3">
        <v>1659.29</v>
      </c>
      <c r="D4" s="10">
        <v>0.18077338748687197</v>
      </c>
    </row>
    <row r="5" spans="1:4" x14ac:dyDescent="0.3">
      <c r="A5" s="7" t="s">
        <v>14</v>
      </c>
      <c r="B5" s="3">
        <v>51850.99</v>
      </c>
      <c r="C5" s="3">
        <v>6705.35</v>
      </c>
      <c r="D5" s="10">
        <v>0.12931961376243734</v>
      </c>
    </row>
    <row r="6" spans="1:4" x14ac:dyDescent="0.3">
      <c r="A6" s="7" t="s">
        <v>40</v>
      </c>
      <c r="B6" s="3">
        <v>51744.639999999999</v>
      </c>
      <c r="C6" s="3">
        <v>13555.099999999999</v>
      </c>
      <c r="D6" s="10">
        <v>0.2619614321406043</v>
      </c>
    </row>
    <row r="7" spans="1:4" x14ac:dyDescent="0.3">
      <c r="A7" s="7" t="s">
        <v>543</v>
      </c>
      <c r="B7" s="3">
        <v>343637.99000000005</v>
      </c>
      <c r="C7" s="3">
        <v>81238.739999999991</v>
      </c>
      <c r="D7" s="10">
        <v>0.23640791287366109</v>
      </c>
    </row>
    <row r="26" spans="12:12" x14ac:dyDescent="0.3">
      <c r="L26" t="s">
        <v>548</v>
      </c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workbookViewId="0">
      <pane ySplit="1" topLeftCell="A2" activePane="bottomLeft" state="frozen"/>
      <selection pane="bottomLeft" activeCell="L2" sqref="L2"/>
    </sheetView>
  </sheetViews>
  <sheetFormatPr defaultRowHeight="14.4" x14ac:dyDescent="0.3"/>
  <cols>
    <col min="1" max="1" width="11.109375" customWidth="1"/>
    <col min="2" max="2" width="10.33203125" bestFit="1" customWidth="1"/>
    <col min="4" max="4" width="9.88671875" customWidth="1"/>
    <col min="5" max="5" width="18.21875" customWidth="1"/>
    <col min="6" max="6" width="13" customWidth="1"/>
    <col min="7" max="7" width="12.21875" style="3" customWidth="1"/>
    <col min="8" max="8" width="13.5546875" style="3" customWidth="1"/>
    <col min="9" max="9" width="13" style="3" customWidth="1"/>
    <col min="10" max="10" width="13" customWidth="1"/>
    <col min="11" max="11" width="18.21875" customWidth="1"/>
    <col min="12" max="12" width="11.5546875" bestFit="1" customWidth="1"/>
    <col min="13" max="13" width="11.5546875" style="9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8" t="s">
        <v>546</v>
      </c>
      <c r="M1" s="1" t="s">
        <v>540</v>
      </c>
    </row>
    <row r="2" spans="1:15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8</v>
      </c>
      <c r="G2" s="3">
        <v>424.73</v>
      </c>
      <c r="H2" s="3">
        <v>3397.84</v>
      </c>
      <c r="I2" s="3">
        <v>500.29</v>
      </c>
      <c r="J2" t="s">
        <v>16</v>
      </c>
      <c r="K2">
        <v>2</v>
      </c>
      <c r="L2" s="9">
        <f>Tablo1[[#This Row],[Toplam_Kar]]/Tablo1[[#This Row],[Toplam_Ciro]]</f>
        <v>0.14723765686436088</v>
      </c>
      <c r="M2" s="3">
        <f>Tablo1[[#This Row],[Birim_Fiyat]]-(Tablo1[[#This Row],[Toplam_Kar]]/Tablo1[[#This Row],[Urun_Adedi]])</f>
        <v>362.19375000000002</v>
      </c>
    </row>
    <row r="3" spans="1:15" x14ac:dyDescent="0.3">
      <c r="A3" t="s">
        <v>17</v>
      </c>
      <c r="B3" t="s">
        <v>18</v>
      </c>
      <c r="C3" t="s">
        <v>19</v>
      </c>
      <c r="D3" t="s">
        <v>14</v>
      </c>
      <c r="E3" t="s">
        <v>20</v>
      </c>
      <c r="F3">
        <v>2</v>
      </c>
      <c r="G3" s="3">
        <v>229.81</v>
      </c>
      <c r="H3" s="3">
        <v>459.62</v>
      </c>
      <c r="I3" s="3">
        <v>77.23</v>
      </c>
      <c r="J3" t="s">
        <v>16</v>
      </c>
      <c r="K3">
        <v>4</v>
      </c>
      <c r="L3" s="9">
        <f>Tablo1[[#This Row],[Toplam_Kar]]/Tablo1[[#This Row],[Toplam_Ciro]]</f>
        <v>0.16803011183151301</v>
      </c>
      <c r="M3" s="3">
        <f>Tablo1[[#This Row],[Birim_Fiyat]]-(Tablo1[[#This Row],[Toplam_Kar]]/Tablo1[[#This Row],[Urun_Adedi]])</f>
        <v>191.19499999999999</v>
      </c>
      <c r="N3" s="3"/>
      <c r="O3" s="3"/>
    </row>
    <row r="4" spans="1:15" x14ac:dyDescent="0.3">
      <c r="A4" t="s">
        <v>21</v>
      </c>
      <c r="B4" t="s">
        <v>22</v>
      </c>
      <c r="C4" t="s">
        <v>13</v>
      </c>
      <c r="D4" t="s">
        <v>23</v>
      </c>
      <c r="E4" t="s">
        <v>15</v>
      </c>
      <c r="F4">
        <v>5</v>
      </c>
      <c r="G4" s="3">
        <v>170.05</v>
      </c>
      <c r="H4" s="3">
        <v>850.25</v>
      </c>
      <c r="I4" s="3">
        <v>285.58</v>
      </c>
      <c r="J4" t="s">
        <v>24</v>
      </c>
      <c r="K4">
        <v>5</v>
      </c>
      <c r="L4" s="9">
        <f>Tablo1[[#This Row],[Toplam_Kar]]/Tablo1[[#This Row],[Toplam_Ciro]]</f>
        <v>0.33587768303440163</v>
      </c>
      <c r="M4" s="3">
        <f>Tablo1[[#This Row],[Birim_Fiyat]]-(Tablo1[[#This Row],[Toplam_Kar]]/Tablo1[[#This Row],[Urun_Adedi]])</f>
        <v>112.93400000000001</v>
      </c>
    </row>
    <row r="5" spans="1:15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>
        <v>5</v>
      </c>
      <c r="G5" s="3">
        <v>1356.22</v>
      </c>
      <c r="H5" s="3">
        <v>6781.1</v>
      </c>
      <c r="I5" s="3">
        <v>1871.16</v>
      </c>
      <c r="J5" t="s">
        <v>16</v>
      </c>
      <c r="K5">
        <v>4</v>
      </c>
      <c r="L5" s="9">
        <f>Tablo1[[#This Row],[Toplam_Kar]]/Tablo1[[#This Row],[Toplam_Ciro]]</f>
        <v>0.2759375322587781</v>
      </c>
      <c r="M5" s="3">
        <f>Tablo1[[#This Row],[Birim_Fiyat]]-(Tablo1[[#This Row],[Toplam_Kar]]/Tablo1[[#This Row],[Urun_Adedi]])</f>
        <v>981.98800000000006</v>
      </c>
    </row>
    <row r="6" spans="1:15" x14ac:dyDescent="0.3">
      <c r="A6" t="s">
        <v>30</v>
      </c>
      <c r="B6" t="s">
        <v>31</v>
      </c>
      <c r="C6" t="s">
        <v>32</v>
      </c>
      <c r="D6" t="s">
        <v>14</v>
      </c>
      <c r="E6" t="s">
        <v>20</v>
      </c>
      <c r="F6">
        <v>3</v>
      </c>
      <c r="G6" s="3">
        <v>3605.05</v>
      </c>
      <c r="H6" s="3">
        <v>10815.15</v>
      </c>
      <c r="I6" s="3">
        <v>4389.28</v>
      </c>
      <c r="J6" t="s">
        <v>16</v>
      </c>
      <c r="K6">
        <v>6</v>
      </c>
      <c r="L6" s="9">
        <f>Tablo1[[#This Row],[Toplam_Kar]]/Tablo1[[#This Row],[Toplam_Ciro]]</f>
        <v>0.40584550376092793</v>
      </c>
      <c r="M6" s="3">
        <f>Tablo1[[#This Row],[Birim_Fiyat]]-(Tablo1[[#This Row],[Toplam_Kar]]/Tablo1[[#This Row],[Urun_Adedi]])</f>
        <v>2141.9566666666669</v>
      </c>
    </row>
    <row r="7" spans="1:15" x14ac:dyDescent="0.3">
      <c r="A7" t="s">
        <v>33</v>
      </c>
      <c r="B7" t="s">
        <v>34</v>
      </c>
      <c r="C7" t="s">
        <v>27</v>
      </c>
      <c r="D7" t="s">
        <v>28</v>
      </c>
      <c r="E7" t="s">
        <v>35</v>
      </c>
      <c r="F7">
        <v>4</v>
      </c>
      <c r="G7" s="3">
        <v>2464.31</v>
      </c>
      <c r="H7" s="3">
        <v>9857.24</v>
      </c>
      <c r="I7" s="3">
        <v>4003.77</v>
      </c>
      <c r="J7" t="s">
        <v>36</v>
      </c>
      <c r="K7">
        <v>2</v>
      </c>
      <c r="L7" s="9">
        <f>Tablo1[[#This Row],[Toplam_Kar]]/Tablo1[[#This Row],[Toplam_Ciro]]</f>
        <v>0.40617556232779156</v>
      </c>
      <c r="M7" s="3">
        <f>Tablo1[[#This Row],[Birim_Fiyat]]-(Tablo1[[#This Row],[Toplam_Kar]]/Tablo1[[#This Row],[Urun_Adedi]])</f>
        <v>1463.3674999999998</v>
      </c>
    </row>
    <row r="8" spans="1:15" x14ac:dyDescent="0.3">
      <c r="A8" t="s">
        <v>37</v>
      </c>
      <c r="B8" t="s">
        <v>38</v>
      </c>
      <c r="C8" t="s">
        <v>39</v>
      </c>
      <c r="D8" t="s">
        <v>40</v>
      </c>
      <c r="E8" t="s">
        <v>15</v>
      </c>
      <c r="F8">
        <v>7</v>
      </c>
      <c r="G8" s="3">
        <v>646.85</v>
      </c>
      <c r="H8" s="3">
        <v>4527.95</v>
      </c>
      <c r="I8" s="3">
        <v>1951.24</v>
      </c>
      <c r="J8" t="s">
        <v>36</v>
      </c>
      <c r="K8">
        <v>3</v>
      </c>
      <c r="L8" s="9">
        <f>Tablo1[[#This Row],[Toplam_Kar]]/Tablo1[[#This Row],[Toplam_Ciro]]</f>
        <v>0.43093232036572843</v>
      </c>
      <c r="M8" s="3">
        <f>Tablo1[[#This Row],[Birim_Fiyat]]-(Tablo1[[#This Row],[Toplam_Kar]]/Tablo1[[#This Row],[Urun_Adedi]])</f>
        <v>368.10142857142858</v>
      </c>
    </row>
    <row r="9" spans="1:15" x14ac:dyDescent="0.3">
      <c r="A9" t="s">
        <v>41</v>
      </c>
      <c r="B9" t="s">
        <v>38</v>
      </c>
      <c r="C9" t="s">
        <v>39</v>
      </c>
      <c r="D9" t="s">
        <v>14</v>
      </c>
      <c r="E9" t="s">
        <v>29</v>
      </c>
      <c r="F9">
        <v>1</v>
      </c>
      <c r="G9" s="3">
        <v>4757.75</v>
      </c>
      <c r="H9" s="3">
        <v>4757.75</v>
      </c>
      <c r="I9" s="3">
        <v>2105.2399999999998</v>
      </c>
      <c r="J9" t="s">
        <v>16</v>
      </c>
      <c r="K9">
        <v>7</v>
      </c>
      <c r="L9" s="9">
        <f>Tablo1[[#This Row],[Toplam_Kar]]/Tablo1[[#This Row],[Toplam_Ciro]]</f>
        <v>0.44248646944459036</v>
      </c>
      <c r="M9" s="3">
        <f>Tablo1[[#This Row],[Birim_Fiyat]]-(Tablo1[[#This Row],[Toplam_Kar]]/Tablo1[[#This Row],[Urun_Adedi]])</f>
        <v>2652.51</v>
      </c>
    </row>
    <row r="10" spans="1:15" x14ac:dyDescent="0.3">
      <c r="A10" t="s">
        <v>42</v>
      </c>
      <c r="B10" t="s">
        <v>43</v>
      </c>
      <c r="C10" t="s">
        <v>44</v>
      </c>
      <c r="D10" t="s">
        <v>14</v>
      </c>
      <c r="E10" t="s">
        <v>20</v>
      </c>
      <c r="F10">
        <v>8</v>
      </c>
      <c r="G10" s="3">
        <v>1134.69</v>
      </c>
      <c r="H10" s="3">
        <v>9077.52</v>
      </c>
      <c r="I10" s="3">
        <v>3876.49</v>
      </c>
      <c r="J10" t="s">
        <v>24</v>
      </c>
      <c r="K10">
        <v>3</v>
      </c>
      <c r="L10" s="9">
        <f>Tablo1[[#This Row],[Toplam_Kar]]/Tablo1[[#This Row],[Toplam_Ciro]]</f>
        <v>0.42704284870757647</v>
      </c>
      <c r="M10" s="3">
        <f>Tablo1[[#This Row],[Birim_Fiyat]]-(Tablo1[[#This Row],[Toplam_Kar]]/Tablo1[[#This Row],[Urun_Adedi]])</f>
        <v>650.12875000000008</v>
      </c>
    </row>
    <row r="11" spans="1:15" x14ac:dyDescent="0.3">
      <c r="A11" t="s">
        <v>45</v>
      </c>
      <c r="B11" t="s">
        <v>46</v>
      </c>
      <c r="C11" t="s">
        <v>44</v>
      </c>
      <c r="D11" t="s">
        <v>23</v>
      </c>
      <c r="E11" t="s">
        <v>29</v>
      </c>
      <c r="F11">
        <v>8</v>
      </c>
      <c r="G11" s="3">
        <v>1239.42</v>
      </c>
      <c r="H11" s="3">
        <v>9915.36</v>
      </c>
      <c r="I11" s="3">
        <v>4049.21</v>
      </c>
      <c r="J11" t="s">
        <v>36</v>
      </c>
      <c r="K11">
        <v>4</v>
      </c>
      <c r="L11" s="9">
        <f>Tablo1[[#This Row],[Toplam_Kar]]/Tablo1[[#This Row],[Toplam_Ciro]]</f>
        <v>0.40837750722111954</v>
      </c>
      <c r="M11" s="3">
        <f>Tablo1[[#This Row],[Birim_Fiyat]]-(Tablo1[[#This Row],[Toplam_Kar]]/Tablo1[[#This Row],[Urun_Adedi]])</f>
        <v>733.26875000000007</v>
      </c>
    </row>
    <row r="12" spans="1:15" x14ac:dyDescent="0.3">
      <c r="A12" t="s">
        <v>47</v>
      </c>
      <c r="B12" t="s">
        <v>48</v>
      </c>
      <c r="C12" t="s">
        <v>44</v>
      </c>
      <c r="D12" t="s">
        <v>40</v>
      </c>
      <c r="E12" t="s">
        <v>29</v>
      </c>
      <c r="F12">
        <v>3</v>
      </c>
      <c r="G12" s="3">
        <v>2088.04</v>
      </c>
      <c r="H12" s="3">
        <v>6264.12</v>
      </c>
      <c r="I12" s="3">
        <v>1042.82</v>
      </c>
      <c r="J12" t="s">
        <v>16</v>
      </c>
      <c r="K12">
        <v>3</v>
      </c>
      <c r="L12" s="9">
        <f>Tablo1[[#This Row],[Toplam_Kar]]/Tablo1[[#This Row],[Toplam_Ciro]]</f>
        <v>0.16647509945531055</v>
      </c>
      <c r="M12" s="3">
        <f>Tablo1[[#This Row],[Birim_Fiyat]]-(Tablo1[[#This Row],[Toplam_Kar]]/Tablo1[[#This Row],[Urun_Adedi]])</f>
        <v>1740.4333333333334</v>
      </c>
    </row>
    <row r="13" spans="1:15" x14ac:dyDescent="0.3">
      <c r="A13" t="s">
        <v>49</v>
      </c>
      <c r="B13" t="s">
        <v>50</v>
      </c>
      <c r="C13" t="s">
        <v>19</v>
      </c>
      <c r="D13" t="s">
        <v>28</v>
      </c>
      <c r="E13" t="s">
        <v>20</v>
      </c>
      <c r="F13">
        <v>5</v>
      </c>
      <c r="G13" s="3">
        <v>3644.92</v>
      </c>
      <c r="H13" s="3">
        <v>18224.599999999999</v>
      </c>
      <c r="I13" s="3">
        <v>2381.46</v>
      </c>
      <c r="J13" t="s">
        <v>36</v>
      </c>
      <c r="K13">
        <v>3</v>
      </c>
      <c r="L13" s="9">
        <f>Tablo1[[#This Row],[Toplam_Kar]]/Tablo1[[#This Row],[Toplam_Ciro]]</f>
        <v>0.13067282683844914</v>
      </c>
      <c r="M13" s="3">
        <f>Tablo1[[#This Row],[Birim_Fiyat]]-(Tablo1[[#This Row],[Toplam_Kar]]/Tablo1[[#This Row],[Urun_Adedi]])</f>
        <v>3168.6280000000002</v>
      </c>
    </row>
    <row r="14" spans="1:15" x14ac:dyDescent="0.3">
      <c r="A14" t="s">
        <v>51</v>
      </c>
      <c r="B14" t="s">
        <v>52</v>
      </c>
      <c r="C14" t="s">
        <v>53</v>
      </c>
      <c r="D14" t="s">
        <v>28</v>
      </c>
      <c r="E14" t="s">
        <v>20</v>
      </c>
      <c r="F14">
        <v>5</v>
      </c>
      <c r="G14" s="3">
        <v>3603.66</v>
      </c>
      <c r="H14" s="3">
        <v>18018.3</v>
      </c>
      <c r="I14" s="3">
        <v>7397.57</v>
      </c>
      <c r="J14" t="s">
        <v>16</v>
      </c>
      <c r="K14">
        <v>5</v>
      </c>
      <c r="L14" s="9">
        <f>Tablo1[[#This Row],[Toplam_Kar]]/Tablo1[[#This Row],[Toplam_Ciro]]</f>
        <v>0.4105587097561923</v>
      </c>
      <c r="M14" s="3">
        <f>Tablo1[[#This Row],[Birim_Fiyat]]-(Tablo1[[#This Row],[Toplam_Kar]]/Tablo1[[#This Row],[Urun_Adedi]])</f>
        <v>2124.1459999999997</v>
      </c>
    </row>
    <row r="15" spans="1:15" x14ac:dyDescent="0.3">
      <c r="A15" t="s">
        <v>54</v>
      </c>
      <c r="B15" t="s">
        <v>55</v>
      </c>
      <c r="C15" t="s">
        <v>44</v>
      </c>
      <c r="D15" t="s">
        <v>14</v>
      </c>
      <c r="E15" t="s">
        <v>29</v>
      </c>
      <c r="F15">
        <v>3</v>
      </c>
      <c r="G15" s="3">
        <v>4405.1400000000003</v>
      </c>
      <c r="H15" s="3">
        <v>13215.42</v>
      </c>
      <c r="I15" s="3">
        <v>5607.07</v>
      </c>
      <c r="J15" t="s">
        <v>36</v>
      </c>
      <c r="K15">
        <v>5</v>
      </c>
      <c r="L15" s="9">
        <f>Tablo1[[#This Row],[Toplam_Kar]]/Tablo1[[#This Row],[Toplam_Ciro]]</f>
        <v>0.42428239132770657</v>
      </c>
      <c r="M15" s="3">
        <f>Tablo1[[#This Row],[Birim_Fiyat]]-(Tablo1[[#This Row],[Toplam_Kar]]/Tablo1[[#This Row],[Urun_Adedi]])</f>
        <v>2536.1166666666668</v>
      </c>
    </row>
    <row r="16" spans="1:15" x14ac:dyDescent="0.3">
      <c r="A16" t="s">
        <v>56</v>
      </c>
      <c r="B16" t="s">
        <v>57</v>
      </c>
      <c r="C16" t="s">
        <v>39</v>
      </c>
      <c r="D16" t="s">
        <v>58</v>
      </c>
      <c r="E16" t="s">
        <v>35</v>
      </c>
      <c r="F16">
        <v>3</v>
      </c>
      <c r="G16" s="3">
        <v>2177.2399999999998</v>
      </c>
      <c r="H16" s="3">
        <v>6531.72</v>
      </c>
      <c r="I16" s="3">
        <v>2468.4699999999998</v>
      </c>
      <c r="J16" t="s">
        <v>36</v>
      </c>
      <c r="K16">
        <v>1</v>
      </c>
      <c r="L16" s="9">
        <f>Tablo1[[#This Row],[Toplam_Kar]]/Tablo1[[#This Row],[Toplam_Ciro]]</f>
        <v>0.37792036400825507</v>
      </c>
      <c r="M16" s="3">
        <f>Tablo1[[#This Row],[Birim_Fiyat]]-(Tablo1[[#This Row],[Toplam_Kar]]/Tablo1[[#This Row],[Urun_Adedi]])</f>
        <v>1354.4166666666665</v>
      </c>
    </row>
    <row r="17" spans="1:13" x14ac:dyDescent="0.3">
      <c r="A17" t="s">
        <v>59</v>
      </c>
      <c r="B17" t="s">
        <v>60</v>
      </c>
      <c r="C17" t="s">
        <v>61</v>
      </c>
      <c r="D17" t="s">
        <v>23</v>
      </c>
      <c r="E17" t="s">
        <v>20</v>
      </c>
      <c r="F17">
        <v>1</v>
      </c>
      <c r="G17" s="3">
        <v>1053.21</v>
      </c>
      <c r="H17" s="3">
        <v>1053.21</v>
      </c>
      <c r="I17" s="3">
        <v>465.3</v>
      </c>
      <c r="J17" t="s">
        <v>36</v>
      </c>
      <c r="K17">
        <v>1</v>
      </c>
      <c r="L17" s="9">
        <f>Tablo1[[#This Row],[Toplam_Kar]]/Tablo1[[#This Row],[Toplam_Ciro]]</f>
        <v>0.44179223516677585</v>
      </c>
      <c r="M17" s="3">
        <f>Tablo1[[#This Row],[Birim_Fiyat]]-(Tablo1[[#This Row],[Toplam_Kar]]/Tablo1[[#This Row],[Urun_Adedi]])</f>
        <v>587.91000000000008</v>
      </c>
    </row>
    <row r="18" spans="1:13" x14ac:dyDescent="0.3">
      <c r="A18" t="s">
        <v>62</v>
      </c>
      <c r="B18" t="s">
        <v>63</v>
      </c>
      <c r="C18" t="s">
        <v>32</v>
      </c>
      <c r="D18" t="s">
        <v>28</v>
      </c>
      <c r="E18" t="s">
        <v>15</v>
      </c>
      <c r="F18">
        <v>1</v>
      </c>
      <c r="G18" s="3">
        <v>4587.75</v>
      </c>
      <c r="H18" s="3">
        <v>4587.75</v>
      </c>
      <c r="I18" s="3">
        <v>789.8</v>
      </c>
      <c r="J18" t="s">
        <v>24</v>
      </c>
      <c r="K18">
        <v>6</v>
      </c>
      <c r="L18" s="9">
        <f>Tablo1[[#This Row],[Toplam_Kar]]/Tablo1[[#This Row],[Toplam_Ciro]]</f>
        <v>0.17215410604326739</v>
      </c>
      <c r="M18" s="3">
        <f>Tablo1[[#This Row],[Birim_Fiyat]]-(Tablo1[[#This Row],[Toplam_Kar]]/Tablo1[[#This Row],[Urun_Adedi]])</f>
        <v>3797.95</v>
      </c>
    </row>
    <row r="19" spans="1:13" x14ac:dyDescent="0.3">
      <c r="A19" t="s">
        <v>64</v>
      </c>
      <c r="B19" t="s">
        <v>65</v>
      </c>
      <c r="C19" t="s">
        <v>32</v>
      </c>
      <c r="D19" t="s">
        <v>23</v>
      </c>
      <c r="E19" t="s">
        <v>20</v>
      </c>
      <c r="F19">
        <v>1</v>
      </c>
      <c r="G19" s="3">
        <v>759.63</v>
      </c>
      <c r="H19" s="3">
        <v>759.63</v>
      </c>
      <c r="I19" s="3">
        <v>296.11</v>
      </c>
      <c r="J19" t="s">
        <v>24</v>
      </c>
      <c r="K19">
        <v>6</v>
      </c>
      <c r="L19" s="9">
        <f>Tablo1[[#This Row],[Toplam_Kar]]/Tablo1[[#This Row],[Toplam_Ciro]]</f>
        <v>0.38980819609546757</v>
      </c>
      <c r="M19" s="3">
        <f>Tablo1[[#This Row],[Birim_Fiyat]]-(Tablo1[[#This Row],[Toplam_Kar]]/Tablo1[[#This Row],[Urun_Adedi]])</f>
        <v>463.52</v>
      </c>
    </row>
    <row r="20" spans="1:13" x14ac:dyDescent="0.3">
      <c r="A20" t="s">
        <v>66</v>
      </c>
      <c r="B20" t="s">
        <v>67</v>
      </c>
      <c r="C20" t="s">
        <v>61</v>
      </c>
      <c r="D20" t="s">
        <v>14</v>
      </c>
      <c r="E20" t="s">
        <v>20</v>
      </c>
      <c r="F20">
        <v>1</v>
      </c>
      <c r="G20" s="3">
        <v>1218.72</v>
      </c>
      <c r="H20" s="3">
        <v>1218.72</v>
      </c>
      <c r="I20" s="3">
        <v>541.07000000000005</v>
      </c>
      <c r="J20" t="s">
        <v>36</v>
      </c>
      <c r="K20">
        <v>6</v>
      </c>
      <c r="L20" s="9">
        <f>Tablo1[[#This Row],[Toplam_Kar]]/Tablo1[[#This Row],[Toplam_Ciro]]</f>
        <v>0.44396580018379944</v>
      </c>
      <c r="M20" s="3">
        <f>Tablo1[[#This Row],[Birim_Fiyat]]-(Tablo1[[#This Row],[Toplam_Kar]]/Tablo1[[#This Row],[Urun_Adedi]])</f>
        <v>677.65</v>
      </c>
    </row>
    <row r="21" spans="1:13" x14ac:dyDescent="0.3">
      <c r="A21" t="s">
        <v>68</v>
      </c>
      <c r="B21" t="s">
        <v>69</v>
      </c>
      <c r="C21" t="s">
        <v>70</v>
      </c>
      <c r="D21" t="s">
        <v>23</v>
      </c>
      <c r="E21" t="s">
        <v>35</v>
      </c>
      <c r="F21">
        <v>8</v>
      </c>
      <c r="G21" s="3">
        <v>2437.73</v>
      </c>
      <c r="H21" s="3">
        <v>19501.84</v>
      </c>
      <c r="I21" s="3">
        <v>7551.45</v>
      </c>
      <c r="J21" t="s">
        <v>16</v>
      </c>
      <c r="K21">
        <v>2</v>
      </c>
      <c r="L21" s="9">
        <f>Tablo1[[#This Row],[Toplam_Kar]]/Tablo1[[#This Row],[Toplam_Ciro]]</f>
        <v>0.38721730872574073</v>
      </c>
      <c r="M21" s="3">
        <f>Tablo1[[#This Row],[Birim_Fiyat]]-(Tablo1[[#This Row],[Toplam_Kar]]/Tablo1[[#This Row],[Urun_Adedi]])</f>
        <v>1493.7987499999999</v>
      </c>
    </row>
    <row r="22" spans="1:13" x14ac:dyDescent="0.3">
      <c r="A22" t="s">
        <v>71</v>
      </c>
      <c r="B22" t="s">
        <v>72</v>
      </c>
      <c r="C22" t="s">
        <v>32</v>
      </c>
      <c r="D22" t="s">
        <v>23</v>
      </c>
      <c r="E22" t="s">
        <v>29</v>
      </c>
      <c r="F22">
        <v>5</v>
      </c>
      <c r="G22" s="3">
        <v>1283.98</v>
      </c>
      <c r="H22" s="3">
        <v>6419.9</v>
      </c>
      <c r="I22" s="3">
        <v>2111.5300000000002</v>
      </c>
      <c r="J22" t="s">
        <v>16</v>
      </c>
      <c r="K22">
        <v>4</v>
      </c>
      <c r="L22" s="9">
        <f>Tablo1[[#This Row],[Toplam_Kar]]/Tablo1[[#This Row],[Toplam_Ciro]]</f>
        <v>0.32890387700743007</v>
      </c>
      <c r="M22" s="3">
        <f>Tablo1[[#This Row],[Birim_Fiyat]]-(Tablo1[[#This Row],[Toplam_Kar]]/Tablo1[[#This Row],[Urun_Adedi]])</f>
        <v>861.67399999999998</v>
      </c>
    </row>
    <row r="23" spans="1:13" x14ac:dyDescent="0.3">
      <c r="A23" t="s">
        <v>73</v>
      </c>
      <c r="B23" t="s">
        <v>74</v>
      </c>
      <c r="C23" t="s">
        <v>19</v>
      </c>
      <c r="D23" t="s">
        <v>58</v>
      </c>
      <c r="E23" t="s">
        <v>15</v>
      </c>
      <c r="F23">
        <v>6</v>
      </c>
      <c r="G23" s="3">
        <v>417.48</v>
      </c>
      <c r="H23" s="3">
        <v>2504.88</v>
      </c>
      <c r="I23" s="3">
        <v>944.01</v>
      </c>
      <c r="J23" t="s">
        <v>16</v>
      </c>
      <c r="K23">
        <v>4</v>
      </c>
      <c r="L23" s="9">
        <f>Tablo1[[#This Row],[Toplam_Kar]]/Tablo1[[#This Row],[Toplam_Ciro]]</f>
        <v>0.37686835297499277</v>
      </c>
      <c r="M23" s="3">
        <f>Tablo1[[#This Row],[Birim_Fiyat]]-(Tablo1[[#This Row],[Toplam_Kar]]/Tablo1[[#This Row],[Urun_Adedi]])</f>
        <v>260.14499999999998</v>
      </c>
    </row>
    <row r="24" spans="1:13" x14ac:dyDescent="0.3">
      <c r="A24" t="s">
        <v>75</v>
      </c>
      <c r="B24" t="s">
        <v>76</v>
      </c>
      <c r="C24" t="s">
        <v>19</v>
      </c>
      <c r="D24" t="s">
        <v>40</v>
      </c>
      <c r="E24" t="s">
        <v>29</v>
      </c>
      <c r="F24">
        <v>6</v>
      </c>
      <c r="G24" s="3">
        <v>2506.7600000000002</v>
      </c>
      <c r="H24" s="3">
        <v>15040.56</v>
      </c>
      <c r="I24" s="3">
        <v>6768.06</v>
      </c>
      <c r="J24" t="s">
        <v>16</v>
      </c>
      <c r="K24">
        <v>5</v>
      </c>
      <c r="L24" s="9">
        <f>Tablo1[[#This Row],[Toplam_Kar]]/Tablo1[[#This Row],[Toplam_Ciro]]</f>
        <v>0.44998723451786377</v>
      </c>
      <c r="M24" s="3">
        <f>Tablo1[[#This Row],[Birim_Fiyat]]-(Tablo1[[#This Row],[Toplam_Kar]]/Tablo1[[#This Row],[Urun_Adedi]])</f>
        <v>1378.7500000000002</v>
      </c>
    </row>
    <row r="25" spans="1:13" x14ac:dyDescent="0.3">
      <c r="A25" t="s">
        <v>77</v>
      </c>
      <c r="B25" t="s">
        <v>78</v>
      </c>
      <c r="C25" t="s">
        <v>19</v>
      </c>
      <c r="D25" t="s">
        <v>58</v>
      </c>
      <c r="E25" t="s">
        <v>29</v>
      </c>
      <c r="F25">
        <v>1</v>
      </c>
      <c r="G25" s="3">
        <v>554.4</v>
      </c>
      <c r="H25" s="3">
        <v>554.4</v>
      </c>
      <c r="I25" s="3">
        <v>76.349999999999994</v>
      </c>
      <c r="J25" t="s">
        <v>16</v>
      </c>
      <c r="K25">
        <v>2</v>
      </c>
      <c r="L25" s="9">
        <f>Tablo1[[#This Row],[Toplam_Kar]]/Tablo1[[#This Row],[Toplam_Ciro]]</f>
        <v>0.13771645021645021</v>
      </c>
      <c r="M25" s="3">
        <f>Tablo1[[#This Row],[Birim_Fiyat]]-(Tablo1[[#This Row],[Toplam_Kar]]/Tablo1[[#This Row],[Urun_Adedi]])</f>
        <v>478.04999999999995</v>
      </c>
    </row>
    <row r="26" spans="1:13" x14ac:dyDescent="0.3">
      <c r="A26" t="s">
        <v>79</v>
      </c>
      <c r="B26" t="s">
        <v>80</v>
      </c>
      <c r="C26" t="s">
        <v>13</v>
      </c>
      <c r="D26" t="s">
        <v>14</v>
      </c>
      <c r="E26" t="s">
        <v>29</v>
      </c>
      <c r="F26">
        <v>8</v>
      </c>
      <c r="G26" s="3">
        <v>1181.3599999999999</v>
      </c>
      <c r="H26" s="3">
        <v>9450.8799999999992</v>
      </c>
      <c r="I26" s="3">
        <v>2043.66</v>
      </c>
      <c r="J26" t="s">
        <v>36</v>
      </c>
      <c r="K26">
        <v>1</v>
      </c>
      <c r="L26" s="9">
        <f>Tablo1[[#This Row],[Toplam_Kar]]/Tablo1[[#This Row],[Toplam_Ciro]]</f>
        <v>0.21624018080855964</v>
      </c>
      <c r="M26" s="3">
        <f>Tablo1[[#This Row],[Birim_Fiyat]]-(Tablo1[[#This Row],[Toplam_Kar]]/Tablo1[[#This Row],[Urun_Adedi]])</f>
        <v>925.90249999999992</v>
      </c>
    </row>
    <row r="27" spans="1:13" x14ac:dyDescent="0.3">
      <c r="A27" t="s">
        <v>81</v>
      </c>
      <c r="B27" t="s">
        <v>82</v>
      </c>
      <c r="C27" t="s">
        <v>39</v>
      </c>
      <c r="D27" t="s">
        <v>14</v>
      </c>
      <c r="E27" t="s">
        <v>29</v>
      </c>
      <c r="F27">
        <v>7</v>
      </c>
      <c r="G27" s="3">
        <v>625.38</v>
      </c>
      <c r="H27" s="3">
        <v>4377.66</v>
      </c>
      <c r="I27" s="3">
        <v>772.78</v>
      </c>
      <c r="J27" t="s">
        <v>24</v>
      </c>
      <c r="K27">
        <v>2</v>
      </c>
      <c r="L27" s="9">
        <f>Tablo1[[#This Row],[Toplam_Kar]]/Tablo1[[#This Row],[Toplam_Ciro]]</f>
        <v>0.17652809948694051</v>
      </c>
      <c r="M27" s="3">
        <f>Tablo1[[#This Row],[Birim_Fiyat]]-(Tablo1[[#This Row],[Toplam_Kar]]/Tablo1[[#This Row],[Urun_Adedi]])</f>
        <v>514.98285714285714</v>
      </c>
    </row>
    <row r="28" spans="1:13" x14ac:dyDescent="0.3">
      <c r="A28" t="s">
        <v>83</v>
      </c>
      <c r="B28" t="s">
        <v>84</v>
      </c>
      <c r="C28" t="s">
        <v>27</v>
      </c>
      <c r="D28" t="s">
        <v>28</v>
      </c>
      <c r="E28" t="s">
        <v>35</v>
      </c>
      <c r="F28">
        <v>1</v>
      </c>
      <c r="G28" s="3">
        <v>2027.58</v>
      </c>
      <c r="H28" s="3">
        <v>2027.58</v>
      </c>
      <c r="I28" s="3">
        <v>371.53</v>
      </c>
      <c r="J28" t="s">
        <v>24</v>
      </c>
      <c r="K28">
        <v>2</v>
      </c>
      <c r="L28" s="9">
        <f>Tablo1[[#This Row],[Toplam_Kar]]/Tablo1[[#This Row],[Toplam_Ciro]]</f>
        <v>0.18323814596711349</v>
      </c>
      <c r="M28" s="3">
        <f>Tablo1[[#This Row],[Birim_Fiyat]]-(Tablo1[[#This Row],[Toplam_Kar]]/Tablo1[[#This Row],[Urun_Adedi]])</f>
        <v>1656.05</v>
      </c>
    </row>
    <row r="29" spans="1:13" x14ac:dyDescent="0.3">
      <c r="A29" t="s">
        <v>85</v>
      </c>
      <c r="B29" t="s">
        <v>86</v>
      </c>
      <c r="C29" t="s">
        <v>13</v>
      </c>
      <c r="D29" t="s">
        <v>58</v>
      </c>
      <c r="E29" t="s">
        <v>15</v>
      </c>
      <c r="F29">
        <v>2</v>
      </c>
      <c r="G29" s="3">
        <v>263.54000000000002</v>
      </c>
      <c r="H29" s="3">
        <v>527.08000000000004</v>
      </c>
      <c r="I29" s="3">
        <v>112.93</v>
      </c>
      <c r="J29" t="s">
        <v>24</v>
      </c>
      <c r="K29">
        <v>5</v>
      </c>
      <c r="L29" s="9">
        <f>Tablo1[[#This Row],[Toplam_Kar]]/Tablo1[[#This Row],[Toplam_Ciro]]</f>
        <v>0.21425590043257189</v>
      </c>
      <c r="M29" s="3">
        <f>Tablo1[[#This Row],[Birim_Fiyat]]-(Tablo1[[#This Row],[Toplam_Kar]]/Tablo1[[#This Row],[Urun_Adedi]])</f>
        <v>207.07500000000002</v>
      </c>
    </row>
    <row r="30" spans="1:13" x14ac:dyDescent="0.3">
      <c r="A30" t="s">
        <v>87</v>
      </c>
      <c r="B30" t="s">
        <v>88</v>
      </c>
      <c r="C30" t="s">
        <v>61</v>
      </c>
      <c r="D30" t="s">
        <v>28</v>
      </c>
      <c r="E30" t="s">
        <v>20</v>
      </c>
      <c r="F30">
        <v>3</v>
      </c>
      <c r="G30" s="3">
        <v>581.07000000000005</v>
      </c>
      <c r="H30" s="3">
        <v>1743.21</v>
      </c>
      <c r="I30" s="3">
        <v>513.57000000000005</v>
      </c>
      <c r="J30" t="s">
        <v>36</v>
      </c>
      <c r="K30">
        <v>2</v>
      </c>
      <c r="L30" s="9">
        <f>Tablo1[[#This Row],[Toplam_Kar]]/Tablo1[[#This Row],[Toplam_Ciro]]</f>
        <v>0.29461166468755917</v>
      </c>
      <c r="M30" s="3">
        <f>Tablo1[[#This Row],[Birim_Fiyat]]-(Tablo1[[#This Row],[Toplam_Kar]]/Tablo1[[#This Row],[Urun_Adedi]])</f>
        <v>409.88</v>
      </c>
    </row>
    <row r="31" spans="1:13" x14ac:dyDescent="0.3">
      <c r="A31" t="s">
        <v>89</v>
      </c>
      <c r="B31" t="s">
        <v>90</v>
      </c>
      <c r="C31" t="s">
        <v>27</v>
      </c>
      <c r="D31" t="s">
        <v>58</v>
      </c>
      <c r="E31" t="s">
        <v>15</v>
      </c>
      <c r="F31">
        <v>3</v>
      </c>
      <c r="G31" s="3">
        <v>2411.13</v>
      </c>
      <c r="H31" s="3">
        <v>7233.39</v>
      </c>
      <c r="I31" s="3">
        <v>2014.37</v>
      </c>
      <c r="J31" t="s">
        <v>24</v>
      </c>
      <c r="K31">
        <v>6</v>
      </c>
      <c r="L31" s="9">
        <f>Tablo1[[#This Row],[Toplam_Kar]]/Tablo1[[#This Row],[Toplam_Ciro]]</f>
        <v>0.27848215013983757</v>
      </c>
      <c r="M31" s="3">
        <f>Tablo1[[#This Row],[Birim_Fiyat]]-(Tablo1[[#This Row],[Toplam_Kar]]/Tablo1[[#This Row],[Urun_Adedi]])</f>
        <v>1739.6733333333336</v>
      </c>
    </row>
    <row r="32" spans="1:13" x14ac:dyDescent="0.3">
      <c r="A32" t="s">
        <v>91</v>
      </c>
      <c r="B32" t="s">
        <v>92</v>
      </c>
      <c r="C32" t="s">
        <v>44</v>
      </c>
      <c r="D32" t="s">
        <v>58</v>
      </c>
      <c r="E32" t="s">
        <v>15</v>
      </c>
      <c r="F32">
        <v>1</v>
      </c>
      <c r="G32" s="3">
        <v>1127.82</v>
      </c>
      <c r="H32" s="3">
        <v>1127.82</v>
      </c>
      <c r="I32" s="3">
        <v>423.91</v>
      </c>
      <c r="J32" t="s">
        <v>16</v>
      </c>
      <c r="K32">
        <v>6</v>
      </c>
      <c r="L32" s="9">
        <f>Tablo1[[#This Row],[Toplam_Kar]]/Tablo1[[#This Row],[Toplam_Ciro]]</f>
        <v>0.3758667163199802</v>
      </c>
      <c r="M32" s="3">
        <f>Tablo1[[#This Row],[Birim_Fiyat]]-(Tablo1[[#This Row],[Toplam_Kar]]/Tablo1[[#This Row],[Urun_Adedi]])</f>
        <v>703.90999999999985</v>
      </c>
    </row>
    <row r="33" spans="1:13" x14ac:dyDescent="0.3">
      <c r="A33" t="s">
        <v>93</v>
      </c>
      <c r="B33" t="s">
        <v>94</v>
      </c>
      <c r="C33" t="s">
        <v>53</v>
      </c>
      <c r="D33" t="s">
        <v>23</v>
      </c>
      <c r="E33" t="s">
        <v>29</v>
      </c>
      <c r="F33">
        <v>5</v>
      </c>
      <c r="G33" s="3">
        <v>1005.63</v>
      </c>
      <c r="H33" s="3">
        <v>5028.1499999999996</v>
      </c>
      <c r="I33" s="3">
        <v>1576.94</v>
      </c>
      <c r="J33" t="s">
        <v>16</v>
      </c>
      <c r="K33">
        <v>7</v>
      </c>
      <c r="L33" s="9">
        <f>Tablo1[[#This Row],[Toplam_Kar]]/Tablo1[[#This Row],[Toplam_Ciro]]</f>
        <v>0.31362230641488426</v>
      </c>
      <c r="M33" s="3">
        <f>Tablo1[[#This Row],[Birim_Fiyat]]-(Tablo1[[#This Row],[Toplam_Kar]]/Tablo1[[#This Row],[Urun_Adedi]])</f>
        <v>690.24199999999996</v>
      </c>
    </row>
    <row r="34" spans="1:13" x14ac:dyDescent="0.3">
      <c r="A34" t="s">
        <v>95</v>
      </c>
      <c r="B34" t="s">
        <v>96</v>
      </c>
      <c r="C34" t="s">
        <v>32</v>
      </c>
      <c r="D34" t="s">
        <v>14</v>
      </c>
      <c r="E34" t="s">
        <v>35</v>
      </c>
      <c r="F34">
        <v>5</v>
      </c>
      <c r="G34" s="3">
        <v>4054.25</v>
      </c>
      <c r="H34" s="3">
        <v>20271.25</v>
      </c>
      <c r="I34" s="3">
        <v>4947.17</v>
      </c>
      <c r="J34" t="s">
        <v>36</v>
      </c>
      <c r="K34">
        <v>6</v>
      </c>
      <c r="L34" s="9">
        <f>Tablo1[[#This Row],[Toplam_Kar]]/Tablo1[[#This Row],[Toplam_Ciro]]</f>
        <v>0.24404859098476908</v>
      </c>
      <c r="M34" s="3">
        <f>Tablo1[[#This Row],[Birim_Fiyat]]-(Tablo1[[#This Row],[Toplam_Kar]]/Tablo1[[#This Row],[Urun_Adedi]])</f>
        <v>3064.8159999999998</v>
      </c>
    </row>
    <row r="35" spans="1:13" x14ac:dyDescent="0.3">
      <c r="A35" t="s">
        <v>97</v>
      </c>
      <c r="B35" t="s">
        <v>98</v>
      </c>
      <c r="C35" t="s">
        <v>19</v>
      </c>
      <c r="D35" t="s">
        <v>58</v>
      </c>
      <c r="E35" t="s">
        <v>15</v>
      </c>
      <c r="F35">
        <v>1</v>
      </c>
      <c r="G35" s="3">
        <v>2025.22</v>
      </c>
      <c r="H35" s="3">
        <v>2025.22</v>
      </c>
      <c r="I35" s="3">
        <v>626.91</v>
      </c>
      <c r="J35" t="s">
        <v>16</v>
      </c>
      <c r="K35">
        <v>5</v>
      </c>
      <c r="L35" s="9">
        <f>Tablo1[[#This Row],[Toplam_Kar]]/Tablo1[[#This Row],[Toplam_Ciro]]</f>
        <v>0.30955155489280173</v>
      </c>
      <c r="M35" s="3">
        <f>Tablo1[[#This Row],[Birim_Fiyat]]-(Tablo1[[#This Row],[Toplam_Kar]]/Tablo1[[#This Row],[Urun_Adedi]])</f>
        <v>1398.31</v>
      </c>
    </row>
    <row r="36" spans="1:13" x14ac:dyDescent="0.3">
      <c r="A36" t="s">
        <v>99</v>
      </c>
      <c r="B36" t="s">
        <v>100</v>
      </c>
      <c r="C36" t="s">
        <v>61</v>
      </c>
      <c r="D36" t="s">
        <v>40</v>
      </c>
      <c r="E36" t="s">
        <v>29</v>
      </c>
      <c r="F36">
        <v>4</v>
      </c>
      <c r="G36" s="3">
        <v>2510.67</v>
      </c>
      <c r="H36" s="3">
        <v>10042.68</v>
      </c>
      <c r="I36" s="3">
        <v>3421.09</v>
      </c>
      <c r="J36" t="s">
        <v>16</v>
      </c>
      <c r="K36">
        <v>3</v>
      </c>
      <c r="L36" s="9">
        <f>Tablo1[[#This Row],[Toplam_Kar]]/Tablo1[[#This Row],[Toplam_Ciro]]</f>
        <v>0.34065508410105672</v>
      </c>
      <c r="M36" s="3">
        <f>Tablo1[[#This Row],[Birim_Fiyat]]-(Tablo1[[#This Row],[Toplam_Kar]]/Tablo1[[#This Row],[Urun_Adedi]])</f>
        <v>1655.3975</v>
      </c>
    </row>
    <row r="37" spans="1:13" x14ac:dyDescent="0.3">
      <c r="A37" t="s">
        <v>101</v>
      </c>
      <c r="B37" t="s">
        <v>102</v>
      </c>
      <c r="C37" t="s">
        <v>13</v>
      </c>
      <c r="D37" t="s">
        <v>40</v>
      </c>
      <c r="E37" t="s">
        <v>29</v>
      </c>
      <c r="F37">
        <v>2</v>
      </c>
      <c r="G37" s="3">
        <v>3970.91</v>
      </c>
      <c r="H37" s="3">
        <v>7941.82</v>
      </c>
      <c r="I37" s="3">
        <v>1342.13</v>
      </c>
      <c r="J37" t="s">
        <v>36</v>
      </c>
      <c r="K37">
        <v>6</v>
      </c>
      <c r="L37" s="9">
        <f>Tablo1[[#This Row],[Toplam_Kar]]/Tablo1[[#This Row],[Toplam_Ciro]]</f>
        <v>0.16899526808716392</v>
      </c>
      <c r="M37" s="3">
        <f>Tablo1[[#This Row],[Birim_Fiyat]]-(Tablo1[[#This Row],[Toplam_Kar]]/Tablo1[[#This Row],[Urun_Adedi]])</f>
        <v>3299.8449999999998</v>
      </c>
    </row>
    <row r="38" spans="1:13" x14ac:dyDescent="0.3">
      <c r="A38" t="s">
        <v>103</v>
      </c>
      <c r="B38" t="s">
        <v>104</v>
      </c>
      <c r="C38" t="s">
        <v>70</v>
      </c>
      <c r="D38" t="s">
        <v>58</v>
      </c>
      <c r="E38" t="s">
        <v>29</v>
      </c>
      <c r="F38">
        <v>1</v>
      </c>
      <c r="G38" s="3">
        <v>1196.3399999999999</v>
      </c>
      <c r="H38" s="3">
        <v>1196.3399999999999</v>
      </c>
      <c r="I38" s="3">
        <v>325.38</v>
      </c>
      <c r="J38" t="s">
        <v>24</v>
      </c>
      <c r="K38">
        <v>6</v>
      </c>
      <c r="L38" s="9">
        <f>Tablo1[[#This Row],[Toplam_Kar]]/Tablo1[[#This Row],[Toplam_Ciro]]</f>
        <v>0.27197953758964843</v>
      </c>
      <c r="M38" s="3">
        <f>Tablo1[[#This Row],[Birim_Fiyat]]-(Tablo1[[#This Row],[Toplam_Kar]]/Tablo1[[#This Row],[Urun_Adedi]])</f>
        <v>870.95999999999992</v>
      </c>
    </row>
    <row r="39" spans="1:13" x14ac:dyDescent="0.3">
      <c r="A39" t="s">
        <v>105</v>
      </c>
      <c r="B39" t="s">
        <v>106</v>
      </c>
      <c r="C39" t="s">
        <v>13</v>
      </c>
      <c r="D39" t="s">
        <v>58</v>
      </c>
      <c r="E39" t="s">
        <v>20</v>
      </c>
      <c r="F39">
        <v>6</v>
      </c>
      <c r="G39" s="3">
        <v>1115.82</v>
      </c>
      <c r="H39" s="3">
        <v>6694.92</v>
      </c>
      <c r="I39" s="3">
        <v>2468.8200000000002</v>
      </c>
      <c r="J39" t="s">
        <v>36</v>
      </c>
      <c r="K39">
        <v>1</v>
      </c>
      <c r="L39" s="9">
        <f>Tablo1[[#This Row],[Toplam_Kar]]/Tablo1[[#This Row],[Toplam_Ciro]]</f>
        <v>0.36876019429657114</v>
      </c>
      <c r="M39" s="3">
        <f>Tablo1[[#This Row],[Birim_Fiyat]]-(Tablo1[[#This Row],[Toplam_Kar]]/Tablo1[[#This Row],[Urun_Adedi]])</f>
        <v>704.34999999999991</v>
      </c>
    </row>
    <row r="40" spans="1:13" x14ac:dyDescent="0.3">
      <c r="A40" t="s">
        <v>107</v>
      </c>
      <c r="B40" t="s">
        <v>108</v>
      </c>
      <c r="C40" t="s">
        <v>19</v>
      </c>
      <c r="D40" t="s">
        <v>14</v>
      </c>
      <c r="E40" t="s">
        <v>15</v>
      </c>
      <c r="F40">
        <v>3</v>
      </c>
      <c r="G40" s="3">
        <v>1573.86</v>
      </c>
      <c r="H40" s="3">
        <v>4721.58</v>
      </c>
      <c r="I40" s="3">
        <v>671.36</v>
      </c>
      <c r="J40" t="s">
        <v>36</v>
      </c>
      <c r="K40">
        <v>2</v>
      </c>
      <c r="L40" s="9">
        <f>Tablo1[[#This Row],[Toplam_Kar]]/Tablo1[[#This Row],[Toplam_Ciro]]</f>
        <v>0.142189690739117</v>
      </c>
      <c r="M40" s="3">
        <f>Tablo1[[#This Row],[Birim_Fiyat]]-(Tablo1[[#This Row],[Toplam_Kar]]/Tablo1[[#This Row],[Urun_Adedi]])</f>
        <v>1350.0733333333333</v>
      </c>
    </row>
    <row r="41" spans="1:13" x14ac:dyDescent="0.3">
      <c r="A41" t="s">
        <v>109</v>
      </c>
      <c r="B41" t="s">
        <v>74</v>
      </c>
      <c r="C41" t="s">
        <v>27</v>
      </c>
      <c r="D41" t="s">
        <v>58</v>
      </c>
      <c r="E41" t="s">
        <v>15</v>
      </c>
      <c r="F41">
        <v>3</v>
      </c>
      <c r="G41" s="3">
        <v>2596.48</v>
      </c>
      <c r="H41" s="3">
        <v>7789.44</v>
      </c>
      <c r="I41" s="3">
        <v>2921.97</v>
      </c>
      <c r="J41" t="s">
        <v>36</v>
      </c>
      <c r="K41">
        <v>7</v>
      </c>
      <c r="L41" s="9">
        <f>Tablo1[[#This Row],[Toplam_Kar]]/Tablo1[[#This Row],[Toplam_Ciro]]</f>
        <v>0.37511939240818337</v>
      </c>
      <c r="M41" s="3">
        <f>Tablo1[[#This Row],[Birim_Fiyat]]-(Tablo1[[#This Row],[Toplam_Kar]]/Tablo1[[#This Row],[Urun_Adedi]])</f>
        <v>1622.4900000000002</v>
      </c>
    </row>
    <row r="42" spans="1:13" x14ac:dyDescent="0.3">
      <c r="A42" t="s">
        <v>110</v>
      </c>
      <c r="B42" t="s">
        <v>111</v>
      </c>
      <c r="C42" t="s">
        <v>44</v>
      </c>
      <c r="D42" t="s">
        <v>58</v>
      </c>
      <c r="E42" t="s">
        <v>35</v>
      </c>
      <c r="F42">
        <v>2</v>
      </c>
      <c r="G42" s="3">
        <v>1132.92</v>
      </c>
      <c r="H42" s="3">
        <v>2265.84</v>
      </c>
      <c r="I42" s="3">
        <v>704.75</v>
      </c>
      <c r="J42" t="s">
        <v>36</v>
      </c>
      <c r="K42">
        <v>6</v>
      </c>
      <c r="L42" s="9">
        <f>Tablo1[[#This Row],[Toplam_Kar]]/Tablo1[[#This Row],[Toplam_Ciro]]</f>
        <v>0.31103255304875893</v>
      </c>
      <c r="M42" s="3">
        <f>Tablo1[[#This Row],[Birim_Fiyat]]-(Tablo1[[#This Row],[Toplam_Kar]]/Tablo1[[#This Row],[Urun_Adedi]])</f>
        <v>780.54500000000007</v>
      </c>
    </row>
    <row r="43" spans="1:13" x14ac:dyDescent="0.3">
      <c r="A43" t="s">
        <v>112</v>
      </c>
      <c r="B43" t="s">
        <v>113</v>
      </c>
      <c r="C43" t="s">
        <v>114</v>
      </c>
      <c r="D43" t="s">
        <v>40</v>
      </c>
      <c r="E43" t="s">
        <v>29</v>
      </c>
      <c r="F43">
        <v>6</v>
      </c>
      <c r="G43" s="3">
        <v>3680.54</v>
      </c>
      <c r="H43" s="3">
        <v>22083.24</v>
      </c>
      <c r="I43" s="3">
        <v>7795.44</v>
      </c>
      <c r="J43" t="s">
        <v>24</v>
      </c>
      <c r="K43">
        <v>5</v>
      </c>
      <c r="L43" s="9">
        <f>Tablo1[[#This Row],[Toplam_Kar]]/Tablo1[[#This Row],[Toplam_Ciro]]</f>
        <v>0.35300254853907304</v>
      </c>
      <c r="M43" s="3">
        <f>Tablo1[[#This Row],[Birim_Fiyat]]-(Tablo1[[#This Row],[Toplam_Kar]]/Tablo1[[#This Row],[Urun_Adedi]])</f>
        <v>2381.3000000000002</v>
      </c>
    </row>
    <row r="44" spans="1:13" x14ac:dyDescent="0.3">
      <c r="A44" t="s">
        <v>115</v>
      </c>
      <c r="B44" t="s">
        <v>116</v>
      </c>
      <c r="C44" t="s">
        <v>44</v>
      </c>
      <c r="D44" t="s">
        <v>28</v>
      </c>
      <c r="E44" t="s">
        <v>29</v>
      </c>
      <c r="F44">
        <v>4</v>
      </c>
      <c r="G44" s="3">
        <v>3149.36</v>
      </c>
      <c r="H44" s="3">
        <v>12597.44</v>
      </c>
      <c r="I44" s="3">
        <v>1844.49</v>
      </c>
      <c r="J44" t="s">
        <v>16</v>
      </c>
      <c r="K44">
        <v>4</v>
      </c>
      <c r="L44" s="9">
        <f>Tablo1[[#This Row],[Toplam_Kar]]/Tablo1[[#This Row],[Toplam_Ciro]]</f>
        <v>0.1464178436253715</v>
      </c>
      <c r="M44" s="3">
        <f>Tablo1[[#This Row],[Birim_Fiyat]]-(Tablo1[[#This Row],[Toplam_Kar]]/Tablo1[[#This Row],[Urun_Adedi]])</f>
        <v>2688.2375000000002</v>
      </c>
    </row>
    <row r="45" spans="1:13" x14ac:dyDescent="0.3">
      <c r="A45" t="s">
        <v>117</v>
      </c>
      <c r="B45" t="s">
        <v>118</v>
      </c>
      <c r="C45" t="s">
        <v>27</v>
      </c>
      <c r="D45" t="s">
        <v>58</v>
      </c>
      <c r="E45" t="s">
        <v>15</v>
      </c>
      <c r="F45">
        <v>4</v>
      </c>
      <c r="G45" s="3">
        <v>2254.2399999999998</v>
      </c>
      <c r="H45" s="3">
        <v>9016.9599999999991</v>
      </c>
      <c r="I45" s="3">
        <v>1458.89</v>
      </c>
      <c r="J45" t="s">
        <v>24</v>
      </c>
      <c r="K45">
        <v>6</v>
      </c>
      <c r="L45" s="9">
        <f>Tablo1[[#This Row],[Toplam_Kar]]/Tablo1[[#This Row],[Toplam_Ciro]]</f>
        <v>0.16179399708992834</v>
      </c>
      <c r="M45" s="3">
        <f>Tablo1[[#This Row],[Birim_Fiyat]]-(Tablo1[[#This Row],[Toplam_Kar]]/Tablo1[[#This Row],[Urun_Adedi]])</f>
        <v>1889.5174999999997</v>
      </c>
    </row>
    <row r="46" spans="1:13" x14ac:dyDescent="0.3">
      <c r="A46" t="s">
        <v>119</v>
      </c>
      <c r="B46" t="s">
        <v>120</v>
      </c>
      <c r="C46" t="s">
        <v>61</v>
      </c>
      <c r="D46" t="s">
        <v>58</v>
      </c>
      <c r="E46" t="s">
        <v>15</v>
      </c>
      <c r="F46">
        <v>3</v>
      </c>
      <c r="G46" s="3">
        <v>3595.69</v>
      </c>
      <c r="H46" s="3">
        <v>10787.07</v>
      </c>
      <c r="I46" s="3">
        <v>3575.29</v>
      </c>
      <c r="J46" t="s">
        <v>16</v>
      </c>
      <c r="K46">
        <v>6</v>
      </c>
      <c r="L46" s="9">
        <f>Tablo1[[#This Row],[Toplam_Kar]]/Tablo1[[#This Row],[Toplam_Ciro]]</f>
        <v>0.33144218031402412</v>
      </c>
      <c r="M46" s="3">
        <f>Tablo1[[#This Row],[Birim_Fiyat]]-(Tablo1[[#This Row],[Toplam_Kar]]/Tablo1[[#This Row],[Urun_Adedi]])</f>
        <v>2403.9266666666667</v>
      </c>
    </row>
    <row r="47" spans="1:13" x14ac:dyDescent="0.3">
      <c r="A47" t="s">
        <v>121</v>
      </c>
      <c r="B47" t="s">
        <v>122</v>
      </c>
      <c r="C47" t="s">
        <v>32</v>
      </c>
      <c r="D47" t="s">
        <v>23</v>
      </c>
      <c r="E47" t="s">
        <v>35</v>
      </c>
      <c r="F47">
        <v>7</v>
      </c>
      <c r="G47" s="3">
        <v>4677.97</v>
      </c>
      <c r="H47" s="3">
        <v>32745.79</v>
      </c>
      <c r="I47" s="3">
        <v>4937.6000000000004</v>
      </c>
      <c r="J47" t="s">
        <v>16</v>
      </c>
      <c r="K47">
        <v>4</v>
      </c>
      <c r="L47" s="9">
        <f>Tablo1[[#This Row],[Toplam_Kar]]/Tablo1[[#This Row],[Toplam_Ciro]]</f>
        <v>0.15078579567022204</v>
      </c>
      <c r="M47" s="3">
        <f>Tablo1[[#This Row],[Birim_Fiyat]]-(Tablo1[[#This Row],[Toplam_Kar]]/Tablo1[[#This Row],[Urun_Adedi]])</f>
        <v>3972.5985714285716</v>
      </c>
    </row>
    <row r="48" spans="1:13" x14ac:dyDescent="0.3">
      <c r="A48" t="s">
        <v>123</v>
      </c>
      <c r="B48" t="s">
        <v>124</v>
      </c>
      <c r="C48" t="s">
        <v>114</v>
      </c>
      <c r="D48" t="s">
        <v>28</v>
      </c>
      <c r="E48" t="s">
        <v>15</v>
      </c>
      <c r="F48">
        <v>3</v>
      </c>
      <c r="G48" s="3">
        <v>3378.53</v>
      </c>
      <c r="H48" s="3">
        <v>10135.59</v>
      </c>
      <c r="I48" s="3">
        <v>3622.08</v>
      </c>
      <c r="J48" t="s">
        <v>16</v>
      </c>
      <c r="K48">
        <v>3</v>
      </c>
      <c r="L48" s="9">
        <f>Tablo1[[#This Row],[Toplam_Kar]]/Tablo1[[#This Row],[Toplam_Ciro]]</f>
        <v>0.3573625215700319</v>
      </c>
      <c r="M48" s="3">
        <f>Tablo1[[#This Row],[Birim_Fiyat]]-(Tablo1[[#This Row],[Toplam_Kar]]/Tablo1[[#This Row],[Urun_Adedi]])</f>
        <v>2171.17</v>
      </c>
    </row>
    <row r="49" spans="1:13" x14ac:dyDescent="0.3">
      <c r="A49" t="s">
        <v>125</v>
      </c>
      <c r="B49" t="s">
        <v>126</v>
      </c>
      <c r="C49" t="s">
        <v>114</v>
      </c>
      <c r="D49" t="s">
        <v>40</v>
      </c>
      <c r="E49" t="s">
        <v>20</v>
      </c>
      <c r="F49">
        <v>3</v>
      </c>
      <c r="G49" s="3">
        <v>2973.38</v>
      </c>
      <c r="H49" s="3">
        <v>8920.14</v>
      </c>
      <c r="I49" s="3">
        <v>1109.27</v>
      </c>
      <c r="J49" t="s">
        <v>24</v>
      </c>
      <c r="K49">
        <v>4</v>
      </c>
      <c r="L49" s="9">
        <f>Tablo1[[#This Row],[Toplam_Kar]]/Tablo1[[#This Row],[Toplam_Ciro]]</f>
        <v>0.12435567154775598</v>
      </c>
      <c r="M49" s="3">
        <f>Tablo1[[#This Row],[Birim_Fiyat]]-(Tablo1[[#This Row],[Toplam_Kar]]/Tablo1[[#This Row],[Urun_Adedi]])</f>
        <v>2603.6233333333334</v>
      </c>
    </row>
    <row r="50" spans="1:13" x14ac:dyDescent="0.3">
      <c r="A50" t="s">
        <v>127</v>
      </c>
      <c r="B50" t="s">
        <v>108</v>
      </c>
      <c r="C50" t="s">
        <v>44</v>
      </c>
      <c r="D50" t="s">
        <v>40</v>
      </c>
      <c r="E50" t="s">
        <v>29</v>
      </c>
      <c r="F50">
        <v>4</v>
      </c>
      <c r="G50" s="3">
        <v>4326.1899999999996</v>
      </c>
      <c r="H50" s="3">
        <v>17304.759999999998</v>
      </c>
      <c r="I50" s="4">
        <v>3948.11</v>
      </c>
      <c r="J50" t="s">
        <v>36</v>
      </c>
      <c r="K50">
        <v>1</v>
      </c>
      <c r="L50" s="9">
        <f>Tablo1[[#This Row],[Toplam_Kar]]/Tablo1[[#This Row],[Toplam_Ciro]]</f>
        <v>0.22815167618620544</v>
      </c>
      <c r="M50" s="3">
        <f>Tablo1[[#This Row],[Birim_Fiyat]]-(Tablo1[[#This Row],[Toplam_Kar]]/Tablo1[[#This Row],[Urun_Adedi]])</f>
        <v>3339.1624999999995</v>
      </c>
    </row>
    <row r="51" spans="1:13" x14ac:dyDescent="0.3">
      <c r="A51" t="s">
        <v>128</v>
      </c>
      <c r="B51" t="s">
        <v>129</v>
      </c>
      <c r="C51" t="s">
        <v>70</v>
      </c>
      <c r="D51" t="s">
        <v>40</v>
      </c>
      <c r="E51" t="s">
        <v>29</v>
      </c>
      <c r="F51">
        <v>7</v>
      </c>
      <c r="G51" s="3">
        <v>3548.71</v>
      </c>
      <c r="H51" s="3">
        <v>24840.97</v>
      </c>
      <c r="I51" s="3">
        <v>9594.5400000000009</v>
      </c>
      <c r="J51" t="s">
        <v>36</v>
      </c>
      <c r="K51">
        <v>1</v>
      </c>
      <c r="L51" s="9">
        <f>Tablo1[[#This Row],[Toplam_Kar]]/Tablo1[[#This Row],[Toplam_Ciro]]</f>
        <v>0.38623854060449331</v>
      </c>
      <c r="M51" s="3">
        <f>Tablo1[[#This Row],[Birim_Fiyat]]-(Tablo1[[#This Row],[Toplam_Kar]]/Tablo1[[#This Row],[Urun_Adedi]])</f>
        <v>2178.0614285714282</v>
      </c>
    </row>
    <row r="52" spans="1:13" x14ac:dyDescent="0.3">
      <c r="A52" t="s">
        <v>130</v>
      </c>
      <c r="B52" t="s">
        <v>57</v>
      </c>
      <c r="C52" t="s">
        <v>44</v>
      </c>
      <c r="D52" t="s">
        <v>40</v>
      </c>
      <c r="E52" t="s">
        <v>35</v>
      </c>
      <c r="F52">
        <v>4</v>
      </c>
      <c r="G52" s="3">
        <v>4682.8</v>
      </c>
      <c r="H52" s="3">
        <v>18731.2</v>
      </c>
      <c r="I52" s="3">
        <v>3948.11</v>
      </c>
      <c r="J52" t="s">
        <v>36</v>
      </c>
      <c r="K52">
        <v>2</v>
      </c>
      <c r="L52" s="9">
        <f>Tablo1[[#This Row],[Toplam_Kar]]/Tablo1[[#This Row],[Toplam_Ciro]]</f>
        <v>0.210777205945161</v>
      </c>
      <c r="M52" s="3">
        <f>Tablo1[[#This Row],[Birim_Fiyat]]-(Tablo1[[#This Row],[Toplam_Kar]]/Tablo1[[#This Row],[Urun_Adedi]])</f>
        <v>3695.7725</v>
      </c>
    </row>
    <row r="53" spans="1:13" x14ac:dyDescent="0.3">
      <c r="A53" t="s">
        <v>131</v>
      </c>
      <c r="B53" t="s">
        <v>132</v>
      </c>
      <c r="C53" t="s">
        <v>13</v>
      </c>
      <c r="D53" t="s">
        <v>23</v>
      </c>
      <c r="E53" t="s">
        <v>29</v>
      </c>
      <c r="F53">
        <v>7</v>
      </c>
      <c r="G53" s="3">
        <v>2474.0100000000002</v>
      </c>
      <c r="H53" s="3">
        <v>17318.07</v>
      </c>
      <c r="I53" s="3">
        <v>3674.27</v>
      </c>
      <c r="J53" t="s">
        <v>36</v>
      </c>
      <c r="K53">
        <v>4</v>
      </c>
      <c r="L53" s="9">
        <f>Tablo1[[#This Row],[Toplam_Kar]]/Tablo1[[#This Row],[Toplam_Ciro]]</f>
        <v>0.21216394205589884</v>
      </c>
      <c r="M53" s="3">
        <f>Tablo1[[#This Row],[Birim_Fiyat]]-(Tablo1[[#This Row],[Toplam_Kar]]/Tablo1[[#This Row],[Urun_Adedi]])</f>
        <v>1949.1142857142859</v>
      </c>
    </row>
    <row r="54" spans="1:13" x14ac:dyDescent="0.3">
      <c r="A54" t="s">
        <v>133</v>
      </c>
      <c r="B54" t="s">
        <v>134</v>
      </c>
      <c r="C54" t="s">
        <v>32</v>
      </c>
      <c r="D54" t="s">
        <v>23</v>
      </c>
      <c r="E54" t="s">
        <v>20</v>
      </c>
      <c r="F54">
        <v>4</v>
      </c>
      <c r="G54" s="3">
        <v>2792.41</v>
      </c>
      <c r="H54" s="3">
        <v>11169.64</v>
      </c>
      <c r="I54" s="3">
        <v>2560.14</v>
      </c>
      <c r="J54" t="s">
        <v>16</v>
      </c>
      <c r="K54">
        <v>1</v>
      </c>
      <c r="L54" s="9">
        <f>Tablo1[[#This Row],[Toplam_Kar]]/Tablo1[[#This Row],[Toplam_Ciro]]</f>
        <v>0.22920523848575244</v>
      </c>
      <c r="M54" s="3">
        <f>Tablo1[[#This Row],[Birim_Fiyat]]-(Tablo1[[#This Row],[Toplam_Kar]]/Tablo1[[#This Row],[Urun_Adedi]])</f>
        <v>2152.375</v>
      </c>
    </row>
    <row r="55" spans="1:13" x14ac:dyDescent="0.3">
      <c r="A55" t="s">
        <v>135</v>
      </c>
      <c r="B55" t="s">
        <v>136</v>
      </c>
      <c r="C55" t="s">
        <v>61</v>
      </c>
      <c r="D55" t="s">
        <v>58</v>
      </c>
      <c r="E55" t="s">
        <v>20</v>
      </c>
      <c r="F55">
        <v>1</v>
      </c>
      <c r="G55" s="3">
        <v>2622.87</v>
      </c>
      <c r="H55" s="3">
        <v>2622.87</v>
      </c>
      <c r="I55" s="3">
        <v>937.65</v>
      </c>
      <c r="J55" t="s">
        <v>16</v>
      </c>
      <c r="K55">
        <v>3</v>
      </c>
      <c r="L55" s="9">
        <f>Tablo1[[#This Row],[Toplam_Kar]]/Tablo1[[#This Row],[Toplam_Ciro]]</f>
        <v>0.35749007766301799</v>
      </c>
      <c r="M55" s="3">
        <f>Tablo1[[#This Row],[Birim_Fiyat]]-(Tablo1[[#This Row],[Toplam_Kar]]/Tablo1[[#This Row],[Urun_Adedi]])</f>
        <v>1685.2199999999998</v>
      </c>
    </row>
    <row r="56" spans="1:13" x14ac:dyDescent="0.3">
      <c r="A56" t="s">
        <v>137</v>
      </c>
      <c r="B56" t="s">
        <v>138</v>
      </c>
      <c r="C56" t="s">
        <v>61</v>
      </c>
      <c r="D56" t="s">
        <v>40</v>
      </c>
      <c r="E56" t="s">
        <v>20</v>
      </c>
      <c r="F56">
        <v>7</v>
      </c>
      <c r="G56" s="3">
        <v>4528.3500000000004</v>
      </c>
      <c r="H56" s="3">
        <v>31698.45</v>
      </c>
      <c r="I56" s="3">
        <v>10702.27</v>
      </c>
      <c r="J56" t="s">
        <v>36</v>
      </c>
      <c r="K56">
        <v>4</v>
      </c>
      <c r="L56" s="9">
        <f>Tablo1[[#This Row],[Toplam_Kar]]/Tablo1[[#This Row],[Toplam_Ciro]]</f>
        <v>0.33762754961204727</v>
      </c>
      <c r="M56" s="3">
        <f>Tablo1[[#This Row],[Birim_Fiyat]]-(Tablo1[[#This Row],[Toplam_Kar]]/Tablo1[[#This Row],[Urun_Adedi]])</f>
        <v>2999.454285714286</v>
      </c>
    </row>
    <row r="57" spans="1:13" x14ac:dyDescent="0.3">
      <c r="A57" t="s">
        <v>139</v>
      </c>
      <c r="B57" t="s">
        <v>140</v>
      </c>
      <c r="C57" t="s">
        <v>114</v>
      </c>
      <c r="D57" t="s">
        <v>28</v>
      </c>
      <c r="E57" t="s">
        <v>35</v>
      </c>
      <c r="F57">
        <v>8</v>
      </c>
      <c r="G57" s="3">
        <v>4490.8599999999997</v>
      </c>
      <c r="H57" s="3">
        <v>35926.879999999997</v>
      </c>
      <c r="I57" s="3">
        <v>6244.1</v>
      </c>
      <c r="J57" t="s">
        <v>16</v>
      </c>
      <c r="K57">
        <v>6</v>
      </c>
      <c r="L57" s="9">
        <f>Tablo1[[#This Row],[Toplam_Kar]]/Tablo1[[#This Row],[Toplam_Ciro]]</f>
        <v>0.17380022980008286</v>
      </c>
      <c r="M57" s="3">
        <f>Tablo1[[#This Row],[Birim_Fiyat]]-(Tablo1[[#This Row],[Toplam_Kar]]/Tablo1[[#This Row],[Urun_Adedi]])</f>
        <v>3710.3474999999999</v>
      </c>
    </row>
    <row r="58" spans="1:13" x14ac:dyDescent="0.3">
      <c r="A58" t="s">
        <v>141</v>
      </c>
      <c r="B58" t="s">
        <v>142</v>
      </c>
      <c r="C58" t="s">
        <v>44</v>
      </c>
      <c r="D58" t="s">
        <v>23</v>
      </c>
      <c r="E58" t="s">
        <v>20</v>
      </c>
      <c r="F58">
        <v>1</v>
      </c>
      <c r="G58" s="3">
        <v>1935.99</v>
      </c>
      <c r="H58" s="3">
        <v>1935.99</v>
      </c>
      <c r="I58" s="3">
        <v>280.99</v>
      </c>
      <c r="J58" t="s">
        <v>16</v>
      </c>
      <c r="K58">
        <v>3</v>
      </c>
      <c r="L58" s="9">
        <f>Tablo1[[#This Row],[Toplam_Kar]]/Tablo1[[#This Row],[Toplam_Ciro]]</f>
        <v>0.14514021250109763</v>
      </c>
      <c r="M58" s="3">
        <f>Tablo1[[#This Row],[Birim_Fiyat]]-(Tablo1[[#This Row],[Toplam_Kar]]/Tablo1[[#This Row],[Urun_Adedi]])</f>
        <v>1655</v>
      </c>
    </row>
    <row r="59" spans="1:13" x14ac:dyDescent="0.3">
      <c r="A59" t="s">
        <v>143</v>
      </c>
      <c r="B59" t="s">
        <v>92</v>
      </c>
      <c r="C59" s="5"/>
      <c r="D59" t="s">
        <v>28</v>
      </c>
      <c r="E59" t="s">
        <v>35</v>
      </c>
      <c r="F59">
        <v>8</v>
      </c>
      <c r="G59" s="3">
        <v>2971.42</v>
      </c>
      <c r="H59" s="3">
        <v>23771.360000000001</v>
      </c>
      <c r="I59" s="3">
        <v>3445.9</v>
      </c>
      <c r="J59" t="s">
        <v>16</v>
      </c>
      <c r="K59">
        <v>7</v>
      </c>
      <c r="L59" s="9">
        <f>Tablo1[[#This Row],[Toplam_Kar]]/Tablo1[[#This Row],[Toplam_Ciro]]</f>
        <v>0.14496015373121268</v>
      </c>
      <c r="M59" s="3">
        <f>Tablo1[[#This Row],[Birim_Fiyat]]-(Tablo1[[#This Row],[Toplam_Kar]]/Tablo1[[#This Row],[Urun_Adedi]])</f>
        <v>2540.6824999999999</v>
      </c>
    </row>
    <row r="60" spans="1:13" x14ac:dyDescent="0.3">
      <c r="A60" t="s">
        <v>144</v>
      </c>
      <c r="B60" t="s">
        <v>145</v>
      </c>
      <c r="C60" t="s">
        <v>39</v>
      </c>
      <c r="D60" t="s">
        <v>14</v>
      </c>
      <c r="E60" t="s">
        <v>15</v>
      </c>
      <c r="F60">
        <v>2</v>
      </c>
      <c r="G60" s="3">
        <v>1275.67</v>
      </c>
      <c r="H60" s="3">
        <v>2551.34</v>
      </c>
      <c r="I60" s="3">
        <v>621.86</v>
      </c>
      <c r="J60" t="s">
        <v>16</v>
      </c>
      <c r="K60">
        <v>4</v>
      </c>
      <c r="L60" s="9">
        <f>Tablo1[[#This Row],[Toplam_Kar]]/Tablo1[[#This Row],[Toplam_Ciro]]</f>
        <v>0.2437385844301426</v>
      </c>
      <c r="M60" s="3">
        <f>Tablo1[[#This Row],[Birim_Fiyat]]-(Tablo1[[#This Row],[Toplam_Kar]]/Tablo1[[#This Row],[Urun_Adedi]])</f>
        <v>964.74</v>
      </c>
    </row>
    <row r="61" spans="1:13" x14ac:dyDescent="0.3">
      <c r="A61" t="s">
        <v>146</v>
      </c>
      <c r="B61" t="s">
        <v>147</v>
      </c>
      <c r="C61" t="s">
        <v>53</v>
      </c>
      <c r="D61" t="s">
        <v>23</v>
      </c>
      <c r="E61" t="s">
        <v>20</v>
      </c>
      <c r="F61">
        <v>8</v>
      </c>
      <c r="G61" s="3">
        <v>1014.75</v>
      </c>
      <c r="H61" s="3">
        <v>8118</v>
      </c>
      <c r="I61" s="3">
        <v>1099.03</v>
      </c>
      <c r="J61" t="s">
        <v>36</v>
      </c>
      <c r="K61">
        <v>1</v>
      </c>
      <c r="L61" s="9">
        <f>Tablo1[[#This Row],[Toplam_Kar]]/Tablo1[[#This Row],[Toplam_Ciro]]</f>
        <v>0.13538186745503819</v>
      </c>
      <c r="M61" s="3">
        <f>Tablo1[[#This Row],[Birim_Fiyat]]-(Tablo1[[#This Row],[Toplam_Kar]]/Tablo1[[#This Row],[Urun_Adedi]])</f>
        <v>877.37125000000003</v>
      </c>
    </row>
    <row r="62" spans="1:13" x14ac:dyDescent="0.3">
      <c r="A62" t="s">
        <v>148</v>
      </c>
      <c r="B62" t="s">
        <v>149</v>
      </c>
      <c r="C62" t="s">
        <v>44</v>
      </c>
      <c r="D62" t="s">
        <v>40</v>
      </c>
      <c r="E62" t="s">
        <v>35</v>
      </c>
      <c r="F62">
        <v>6</v>
      </c>
      <c r="G62" s="3">
        <v>1471.73</v>
      </c>
      <c r="H62" s="3">
        <v>8830.3799999999992</v>
      </c>
      <c r="I62" s="3">
        <v>2770.94</v>
      </c>
      <c r="J62" t="s">
        <v>16</v>
      </c>
      <c r="K62">
        <v>6</v>
      </c>
      <c r="L62" s="9">
        <f>Tablo1[[#This Row],[Toplam_Kar]]/Tablo1[[#This Row],[Toplam_Ciro]]</f>
        <v>0.31379623526960337</v>
      </c>
      <c r="M62" s="3">
        <f>Tablo1[[#This Row],[Birim_Fiyat]]-(Tablo1[[#This Row],[Toplam_Kar]]/Tablo1[[#This Row],[Urun_Adedi]])</f>
        <v>1009.9066666666668</v>
      </c>
    </row>
    <row r="63" spans="1:13" x14ac:dyDescent="0.3">
      <c r="A63" t="s">
        <v>150</v>
      </c>
      <c r="B63" t="s">
        <v>151</v>
      </c>
      <c r="C63" t="s">
        <v>27</v>
      </c>
      <c r="D63" t="s">
        <v>58</v>
      </c>
      <c r="E63" t="s">
        <v>29</v>
      </c>
      <c r="F63">
        <v>7</v>
      </c>
      <c r="G63" s="3">
        <v>4447.0200000000004</v>
      </c>
      <c r="H63" s="3">
        <v>31129.14</v>
      </c>
      <c r="I63" s="3">
        <v>9910.7999999999993</v>
      </c>
      <c r="J63" t="s">
        <v>24</v>
      </c>
      <c r="K63">
        <v>7</v>
      </c>
      <c r="L63" s="9">
        <f>Tablo1[[#This Row],[Toplam_Kar]]/Tablo1[[#This Row],[Toplam_Ciro]]</f>
        <v>0.31837692914099136</v>
      </c>
      <c r="M63" s="3">
        <f>Tablo1[[#This Row],[Birim_Fiyat]]-(Tablo1[[#This Row],[Toplam_Kar]]/Tablo1[[#This Row],[Urun_Adedi]])</f>
        <v>3031.1914285714292</v>
      </c>
    </row>
    <row r="64" spans="1:13" x14ac:dyDescent="0.3">
      <c r="A64" t="s">
        <v>152</v>
      </c>
      <c r="B64" t="s">
        <v>153</v>
      </c>
      <c r="C64" t="s">
        <v>27</v>
      </c>
      <c r="D64" t="s">
        <v>58</v>
      </c>
      <c r="E64" t="s">
        <v>15</v>
      </c>
      <c r="F64">
        <v>8</v>
      </c>
      <c r="G64" s="3">
        <v>3455.54</v>
      </c>
      <c r="H64" s="3">
        <v>27644.32</v>
      </c>
      <c r="I64" s="3">
        <v>10718.16</v>
      </c>
      <c r="J64" t="s">
        <v>24</v>
      </c>
      <c r="K64">
        <v>5</v>
      </c>
      <c r="L64" s="9">
        <f>Tablo1[[#This Row],[Toplam_Kar]]/Tablo1[[#This Row],[Toplam_Ciro]]</f>
        <v>0.38771653634453662</v>
      </c>
      <c r="M64" s="3">
        <f>Tablo1[[#This Row],[Birim_Fiyat]]-(Tablo1[[#This Row],[Toplam_Kar]]/Tablo1[[#This Row],[Urun_Adedi]])</f>
        <v>2115.77</v>
      </c>
    </row>
    <row r="65" spans="1:13" x14ac:dyDescent="0.3">
      <c r="A65" t="s">
        <v>154</v>
      </c>
      <c r="B65" t="s">
        <v>155</v>
      </c>
      <c r="C65" t="s">
        <v>39</v>
      </c>
      <c r="D65" t="s">
        <v>23</v>
      </c>
      <c r="E65" t="s">
        <v>15</v>
      </c>
      <c r="F65">
        <v>2</v>
      </c>
      <c r="G65" s="3">
        <v>3301.87</v>
      </c>
      <c r="H65" s="3">
        <v>6603.74</v>
      </c>
      <c r="I65" s="3">
        <v>2636.59</v>
      </c>
      <c r="J65" t="s">
        <v>36</v>
      </c>
      <c r="K65">
        <v>2</v>
      </c>
      <c r="L65" s="9">
        <f>Tablo1[[#This Row],[Toplam_Kar]]/Tablo1[[#This Row],[Toplam_Ciro]]</f>
        <v>0.39925708765033152</v>
      </c>
      <c r="M65" s="3">
        <f>Tablo1[[#This Row],[Birim_Fiyat]]-(Tablo1[[#This Row],[Toplam_Kar]]/Tablo1[[#This Row],[Urun_Adedi]])</f>
        <v>1983.5749999999998</v>
      </c>
    </row>
    <row r="66" spans="1:13" x14ac:dyDescent="0.3">
      <c r="A66" t="s">
        <v>156</v>
      </c>
      <c r="B66" t="s">
        <v>111</v>
      </c>
      <c r="C66" t="s">
        <v>70</v>
      </c>
      <c r="D66" t="s">
        <v>58</v>
      </c>
      <c r="E66" t="s">
        <v>15</v>
      </c>
      <c r="F66">
        <v>1</v>
      </c>
      <c r="G66" s="3">
        <v>1415.24</v>
      </c>
      <c r="H66" s="3">
        <v>1415.24</v>
      </c>
      <c r="I66" s="3">
        <v>194.77</v>
      </c>
      <c r="J66" t="s">
        <v>36</v>
      </c>
      <c r="K66">
        <v>6</v>
      </c>
      <c r="L66" s="9">
        <f>Tablo1[[#This Row],[Toplam_Kar]]/Tablo1[[#This Row],[Toplam_Ciro]]</f>
        <v>0.13762330064158729</v>
      </c>
      <c r="M66" s="3">
        <f>Tablo1[[#This Row],[Birim_Fiyat]]-(Tablo1[[#This Row],[Toplam_Kar]]/Tablo1[[#This Row],[Urun_Adedi]])</f>
        <v>1220.47</v>
      </c>
    </row>
    <row r="67" spans="1:13" x14ac:dyDescent="0.3">
      <c r="A67" t="s">
        <v>157</v>
      </c>
      <c r="B67" t="s">
        <v>18</v>
      </c>
      <c r="C67" t="s">
        <v>19</v>
      </c>
      <c r="D67" t="s">
        <v>23</v>
      </c>
      <c r="E67" t="s">
        <v>35</v>
      </c>
      <c r="F67">
        <v>5</v>
      </c>
      <c r="G67" s="3">
        <v>2263.04</v>
      </c>
      <c r="H67" s="3">
        <v>11315.2</v>
      </c>
      <c r="I67" s="3">
        <v>2475.23</v>
      </c>
      <c r="J67" t="s">
        <v>24</v>
      </c>
      <c r="K67">
        <v>1</v>
      </c>
      <c r="L67" s="9">
        <f>Tablo1[[#This Row],[Toplam_Kar]]/Tablo1[[#This Row],[Toplam_Ciro]]</f>
        <v>0.21875265130090496</v>
      </c>
      <c r="M67" s="3">
        <f>Tablo1[[#This Row],[Birim_Fiyat]]-(Tablo1[[#This Row],[Toplam_Kar]]/Tablo1[[#This Row],[Urun_Adedi]])</f>
        <v>1767.9939999999999</v>
      </c>
    </row>
    <row r="68" spans="1:13" x14ac:dyDescent="0.3">
      <c r="A68" t="s">
        <v>158</v>
      </c>
      <c r="B68" t="s">
        <v>100</v>
      </c>
      <c r="C68" t="s">
        <v>53</v>
      </c>
      <c r="D68" t="s">
        <v>14</v>
      </c>
      <c r="E68" t="s">
        <v>15</v>
      </c>
      <c r="F68">
        <v>8</v>
      </c>
      <c r="G68" s="3">
        <v>825.63</v>
      </c>
      <c r="H68" s="3">
        <v>6605.04</v>
      </c>
      <c r="I68" s="3">
        <v>2843.88</v>
      </c>
      <c r="J68" t="s">
        <v>36</v>
      </c>
      <c r="K68">
        <v>1</v>
      </c>
      <c r="L68" s="9">
        <f>Tablo1[[#This Row],[Toplam_Kar]]/Tablo1[[#This Row],[Toplam_Ciro]]</f>
        <v>0.43056211620217288</v>
      </c>
      <c r="M68" s="3">
        <f>Tablo1[[#This Row],[Birim_Fiyat]]-(Tablo1[[#This Row],[Toplam_Kar]]/Tablo1[[#This Row],[Urun_Adedi]])</f>
        <v>470.14499999999998</v>
      </c>
    </row>
    <row r="69" spans="1:13" x14ac:dyDescent="0.3">
      <c r="A69" t="s">
        <v>159</v>
      </c>
      <c r="B69" t="s">
        <v>160</v>
      </c>
      <c r="C69" t="s">
        <v>44</v>
      </c>
      <c r="D69" t="s">
        <v>40</v>
      </c>
      <c r="E69" t="s">
        <v>15</v>
      </c>
      <c r="F69">
        <v>8</v>
      </c>
      <c r="G69" s="3">
        <v>976.41</v>
      </c>
      <c r="H69" s="3">
        <v>7811.28</v>
      </c>
      <c r="I69" s="4">
        <v>450.16</v>
      </c>
      <c r="J69" t="s">
        <v>36</v>
      </c>
      <c r="K69">
        <v>4</v>
      </c>
      <c r="L69" s="9">
        <f>Tablo1[[#This Row],[Toplam_Kar]]/Tablo1[[#This Row],[Toplam_Ciro]]</f>
        <v>5.7629479419506156E-2</v>
      </c>
      <c r="M69" s="3">
        <f>Tablo1[[#This Row],[Birim_Fiyat]]-(Tablo1[[#This Row],[Toplam_Kar]]/Tablo1[[#This Row],[Urun_Adedi]])</f>
        <v>920.14</v>
      </c>
    </row>
    <row r="70" spans="1:13" x14ac:dyDescent="0.3">
      <c r="A70" t="s">
        <v>161</v>
      </c>
      <c r="B70" t="s">
        <v>162</v>
      </c>
      <c r="C70" t="s">
        <v>61</v>
      </c>
      <c r="D70" t="s">
        <v>14</v>
      </c>
      <c r="E70" t="s">
        <v>29</v>
      </c>
      <c r="F70">
        <v>6</v>
      </c>
      <c r="G70" s="3">
        <v>4008.11</v>
      </c>
      <c r="H70" s="3">
        <v>24048.66</v>
      </c>
      <c r="I70" s="3">
        <v>7432.88</v>
      </c>
      <c r="J70" t="s">
        <v>16</v>
      </c>
      <c r="K70">
        <v>3</v>
      </c>
      <c r="L70" s="9">
        <f>Tablo1[[#This Row],[Toplam_Kar]]/Tablo1[[#This Row],[Toplam_Ciro]]</f>
        <v>0.30907668036389552</v>
      </c>
      <c r="M70" s="3">
        <f>Tablo1[[#This Row],[Birim_Fiyat]]-(Tablo1[[#This Row],[Toplam_Kar]]/Tablo1[[#This Row],[Urun_Adedi]])</f>
        <v>2769.2966666666671</v>
      </c>
    </row>
    <row r="71" spans="1:13" x14ac:dyDescent="0.3">
      <c r="A71" t="s">
        <v>163</v>
      </c>
      <c r="B71" t="s">
        <v>164</v>
      </c>
      <c r="C71" s="5"/>
      <c r="D71" t="s">
        <v>23</v>
      </c>
      <c r="E71" t="s">
        <v>20</v>
      </c>
      <c r="F71">
        <v>1</v>
      </c>
      <c r="G71" s="3">
        <v>2844.38</v>
      </c>
      <c r="H71" s="3">
        <v>2844.38</v>
      </c>
      <c r="I71" s="3">
        <v>1048.8699999999999</v>
      </c>
      <c r="J71" t="s">
        <v>36</v>
      </c>
      <c r="K71">
        <v>4</v>
      </c>
      <c r="L71" s="9">
        <f>Tablo1[[#This Row],[Toplam_Kar]]/Tablo1[[#This Row],[Toplam_Ciro]]</f>
        <v>0.36875171390601813</v>
      </c>
      <c r="M71" s="3">
        <f>Tablo1[[#This Row],[Birim_Fiyat]]-(Tablo1[[#This Row],[Toplam_Kar]]/Tablo1[[#This Row],[Urun_Adedi]])</f>
        <v>1795.5100000000002</v>
      </c>
    </row>
    <row r="72" spans="1:13" x14ac:dyDescent="0.3">
      <c r="A72" t="s">
        <v>165</v>
      </c>
      <c r="B72" t="s">
        <v>166</v>
      </c>
      <c r="C72" t="s">
        <v>114</v>
      </c>
      <c r="D72" t="s">
        <v>58</v>
      </c>
      <c r="E72" t="s">
        <v>15</v>
      </c>
      <c r="F72">
        <v>4</v>
      </c>
      <c r="G72" s="3">
        <v>4917.08</v>
      </c>
      <c r="H72" s="3">
        <v>19668.32</v>
      </c>
      <c r="I72" s="3">
        <v>3178.37</v>
      </c>
      <c r="J72" t="s">
        <v>36</v>
      </c>
      <c r="K72">
        <v>2</v>
      </c>
      <c r="L72" s="9">
        <f>Tablo1[[#This Row],[Toplam_Kar]]/Tablo1[[#This Row],[Toplam_Ciro]]</f>
        <v>0.16159844867278955</v>
      </c>
      <c r="M72" s="3">
        <f>Tablo1[[#This Row],[Birim_Fiyat]]-(Tablo1[[#This Row],[Toplam_Kar]]/Tablo1[[#This Row],[Urun_Adedi]])</f>
        <v>4122.4875000000002</v>
      </c>
    </row>
    <row r="73" spans="1:13" x14ac:dyDescent="0.3">
      <c r="A73" t="s">
        <v>167</v>
      </c>
      <c r="B73" t="s">
        <v>168</v>
      </c>
      <c r="C73" t="s">
        <v>27</v>
      </c>
      <c r="D73" t="s">
        <v>58</v>
      </c>
      <c r="E73" t="s">
        <v>35</v>
      </c>
      <c r="F73">
        <v>3</v>
      </c>
      <c r="G73" s="3">
        <v>403.31</v>
      </c>
      <c r="H73" s="3">
        <v>1209.93</v>
      </c>
      <c r="I73" s="3">
        <v>306.52</v>
      </c>
      <c r="J73" t="s">
        <v>36</v>
      </c>
      <c r="K73">
        <v>7</v>
      </c>
      <c r="L73" s="9">
        <f>Tablo1[[#This Row],[Toplam_Kar]]/Tablo1[[#This Row],[Toplam_Ciro]]</f>
        <v>0.25333696990735</v>
      </c>
      <c r="M73" s="3">
        <f>Tablo1[[#This Row],[Birim_Fiyat]]-(Tablo1[[#This Row],[Toplam_Kar]]/Tablo1[[#This Row],[Urun_Adedi]])</f>
        <v>301.13666666666666</v>
      </c>
    </row>
    <row r="74" spans="1:13" x14ac:dyDescent="0.3">
      <c r="A74" t="s">
        <v>169</v>
      </c>
      <c r="B74" t="s">
        <v>170</v>
      </c>
      <c r="C74" t="s">
        <v>53</v>
      </c>
      <c r="D74" t="s">
        <v>23</v>
      </c>
      <c r="E74" t="s">
        <v>15</v>
      </c>
      <c r="F74">
        <v>7</v>
      </c>
      <c r="G74" s="3">
        <v>273</v>
      </c>
      <c r="H74" s="3">
        <v>1911</v>
      </c>
      <c r="I74" s="3">
        <v>588.85</v>
      </c>
      <c r="J74" t="s">
        <v>24</v>
      </c>
      <c r="K74">
        <v>2</v>
      </c>
      <c r="L74" s="9">
        <f>Tablo1[[#This Row],[Toplam_Kar]]/Tablo1[[#This Row],[Toplam_Ciro]]</f>
        <v>0.30813710099424385</v>
      </c>
      <c r="M74" s="3">
        <f>Tablo1[[#This Row],[Birim_Fiyat]]-(Tablo1[[#This Row],[Toplam_Kar]]/Tablo1[[#This Row],[Urun_Adedi]])</f>
        <v>188.87857142857143</v>
      </c>
    </row>
    <row r="75" spans="1:13" x14ac:dyDescent="0.3">
      <c r="A75" t="s">
        <v>171</v>
      </c>
      <c r="B75" t="s">
        <v>172</v>
      </c>
      <c r="C75" t="s">
        <v>114</v>
      </c>
      <c r="D75" t="s">
        <v>58</v>
      </c>
      <c r="E75" t="s">
        <v>20</v>
      </c>
      <c r="F75">
        <v>2</v>
      </c>
      <c r="G75" s="3">
        <v>1627.01</v>
      </c>
      <c r="H75" s="3">
        <v>3254.02</v>
      </c>
      <c r="I75" s="3">
        <v>1008.46</v>
      </c>
      <c r="J75" t="s">
        <v>36</v>
      </c>
      <c r="K75">
        <v>2</v>
      </c>
      <c r="L75" s="9">
        <f>Tablo1[[#This Row],[Toplam_Kar]]/Tablo1[[#This Row],[Toplam_Ciro]]</f>
        <v>0.30991204725232174</v>
      </c>
      <c r="M75" s="3">
        <f>Tablo1[[#This Row],[Birim_Fiyat]]-(Tablo1[[#This Row],[Toplam_Kar]]/Tablo1[[#This Row],[Urun_Adedi]])</f>
        <v>1122.78</v>
      </c>
    </row>
    <row r="76" spans="1:13" x14ac:dyDescent="0.3">
      <c r="A76" t="s">
        <v>173</v>
      </c>
      <c r="B76" t="s">
        <v>174</v>
      </c>
      <c r="C76" t="s">
        <v>39</v>
      </c>
      <c r="D76" t="s">
        <v>40</v>
      </c>
      <c r="E76" t="s">
        <v>15</v>
      </c>
      <c r="F76">
        <v>2</v>
      </c>
      <c r="G76" s="3">
        <v>3909.15</v>
      </c>
      <c r="H76" s="3">
        <v>7818.3</v>
      </c>
      <c r="I76" s="3">
        <v>2830.82</v>
      </c>
      <c r="J76" t="s">
        <v>24</v>
      </c>
      <c r="K76">
        <v>4</v>
      </c>
      <c r="L76" s="9">
        <f>Tablo1[[#This Row],[Toplam_Kar]]/Tablo1[[#This Row],[Toplam_Ciro]]</f>
        <v>0.36207615466277837</v>
      </c>
      <c r="M76" s="3">
        <f>Tablo1[[#This Row],[Birim_Fiyat]]-(Tablo1[[#This Row],[Toplam_Kar]]/Tablo1[[#This Row],[Urun_Adedi]])</f>
        <v>2493.7399999999998</v>
      </c>
    </row>
    <row r="77" spans="1:13" x14ac:dyDescent="0.3">
      <c r="A77" t="s">
        <v>175</v>
      </c>
      <c r="B77" t="s">
        <v>176</v>
      </c>
      <c r="C77" t="s">
        <v>44</v>
      </c>
      <c r="D77" t="s">
        <v>58</v>
      </c>
      <c r="E77" t="s">
        <v>29</v>
      </c>
      <c r="F77">
        <v>8</v>
      </c>
      <c r="G77" s="3">
        <v>3570.96</v>
      </c>
      <c r="H77" s="3">
        <v>28567.68</v>
      </c>
      <c r="I77" s="3">
        <v>3757.45</v>
      </c>
      <c r="J77" t="s">
        <v>36</v>
      </c>
      <c r="K77">
        <v>2</v>
      </c>
      <c r="L77" s="9">
        <f>Tablo1[[#This Row],[Toplam_Kar]]/Tablo1[[#This Row],[Toplam_Ciro]]</f>
        <v>0.13152800647444943</v>
      </c>
      <c r="M77" s="3">
        <f>Tablo1[[#This Row],[Birim_Fiyat]]-(Tablo1[[#This Row],[Toplam_Kar]]/Tablo1[[#This Row],[Urun_Adedi]])</f>
        <v>3101.2787499999999</v>
      </c>
    </row>
    <row r="78" spans="1:13" x14ac:dyDescent="0.3">
      <c r="A78" t="s">
        <v>177</v>
      </c>
      <c r="B78" t="s">
        <v>178</v>
      </c>
      <c r="C78" t="s">
        <v>70</v>
      </c>
      <c r="D78" t="s">
        <v>40</v>
      </c>
      <c r="E78" t="s">
        <v>35</v>
      </c>
      <c r="F78">
        <v>1</v>
      </c>
      <c r="G78" s="3">
        <v>3812.14</v>
      </c>
      <c r="H78" s="3">
        <v>3812.14</v>
      </c>
      <c r="I78" s="3">
        <v>1087</v>
      </c>
      <c r="J78" t="s">
        <v>24</v>
      </c>
      <c r="K78">
        <v>7</v>
      </c>
      <c r="L78" s="9">
        <f>Tablo1[[#This Row],[Toplam_Kar]]/Tablo1[[#This Row],[Toplam_Ciro]]</f>
        <v>0.28514167895197973</v>
      </c>
      <c r="M78" s="3">
        <f>Tablo1[[#This Row],[Birim_Fiyat]]-(Tablo1[[#This Row],[Toplam_Kar]]/Tablo1[[#This Row],[Urun_Adedi]])</f>
        <v>2725.14</v>
      </c>
    </row>
    <row r="79" spans="1:13" x14ac:dyDescent="0.3">
      <c r="A79" t="s">
        <v>179</v>
      </c>
      <c r="B79" t="s">
        <v>180</v>
      </c>
      <c r="C79" t="s">
        <v>13</v>
      </c>
      <c r="D79" t="s">
        <v>23</v>
      </c>
      <c r="E79" t="s">
        <v>15</v>
      </c>
      <c r="F79">
        <v>5</v>
      </c>
      <c r="G79" s="3">
        <v>476.44</v>
      </c>
      <c r="H79" s="3">
        <v>2382.1999999999998</v>
      </c>
      <c r="I79" s="3">
        <v>390.7</v>
      </c>
      <c r="J79" t="s">
        <v>16</v>
      </c>
      <c r="K79">
        <v>7</v>
      </c>
      <c r="L79" s="9">
        <f>Tablo1[[#This Row],[Toplam_Kar]]/Tablo1[[#This Row],[Toplam_Ciro]]</f>
        <v>0.16400805977667704</v>
      </c>
      <c r="M79" s="3">
        <f>Tablo1[[#This Row],[Birim_Fiyat]]-(Tablo1[[#This Row],[Toplam_Kar]]/Tablo1[[#This Row],[Urun_Adedi]])</f>
        <v>398.3</v>
      </c>
    </row>
    <row r="80" spans="1:13" x14ac:dyDescent="0.3">
      <c r="A80" t="s">
        <v>181</v>
      </c>
      <c r="B80" t="s">
        <v>129</v>
      </c>
      <c r="C80" t="s">
        <v>44</v>
      </c>
      <c r="D80" t="s">
        <v>14</v>
      </c>
      <c r="E80" t="s">
        <v>15</v>
      </c>
      <c r="F80">
        <v>7</v>
      </c>
      <c r="G80" s="3">
        <v>2940.27</v>
      </c>
      <c r="H80" s="3">
        <v>20581.89</v>
      </c>
      <c r="I80" s="3">
        <v>7312.06</v>
      </c>
      <c r="J80" t="s">
        <v>36</v>
      </c>
      <c r="K80">
        <v>1</v>
      </c>
      <c r="L80" s="9">
        <f>Tablo1[[#This Row],[Toplam_Kar]]/Tablo1[[#This Row],[Toplam_Ciro]]</f>
        <v>0.35526669319484266</v>
      </c>
      <c r="M80" s="3">
        <f>Tablo1[[#This Row],[Birim_Fiyat]]-(Tablo1[[#This Row],[Toplam_Kar]]/Tablo1[[#This Row],[Urun_Adedi]])</f>
        <v>1895.6899999999998</v>
      </c>
    </row>
    <row r="81" spans="1:13" x14ac:dyDescent="0.3">
      <c r="A81" t="s">
        <v>182</v>
      </c>
      <c r="B81" t="s">
        <v>183</v>
      </c>
      <c r="C81" t="s">
        <v>19</v>
      </c>
      <c r="D81" t="s">
        <v>58</v>
      </c>
      <c r="E81" t="s">
        <v>20</v>
      </c>
      <c r="F81">
        <v>2</v>
      </c>
      <c r="G81" s="3">
        <v>1112.6300000000001</v>
      </c>
      <c r="H81" s="3">
        <v>2225.2600000000002</v>
      </c>
      <c r="I81" s="3">
        <v>474.45</v>
      </c>
      <c r="J81" t="s">
        <v>24</v>
      </c>
      <c r="K81">
        <v>6</v>
      </c>
      <c r="L81" s="9">
        <f>Tablo1[[#This Row],[Toplam_Kar]]/Tablo1[[#This Row],[Toplam_Ciro]]</f>
        <v>0.21321104050762604</v>
      </c>
      <c r="M81" s="3">
        <f>Tablo1[[#This Row],[Birim_Fiyat]]-(Tablo1[[#This Row],[Toplam_Kar]]/Tablo1[[#This Row],[Urun_Adedi]])</f>
        <v>875.40500000000009</v>
      </c>
    </row>
    <row r="82" spans="1:13" x14ac:dyDescent="0.3">
      <c r="A82" t="s">
        <v>184</v>
      </c>
      <c r="B82" t="s">
        <v>185</v>
      </c>
      <c r="C82" t="s">
        <v>70</v>
      </c>
      <c r="D82" t="s">
        <v>23</v>
      </c>
      <c r="E82" t="s">
        <v>29</v>
      </c>
      <c r="F82">
        <v>3</v>
      </c>
      <c r="G82" s="3">
        <v>3603.16</v>
      </c>
      <c r="H82" s="3">
        <v>10809.48</v>
      </c>
      <c r="I82" s="4">
        <v>3162.78</v>
      </c>
      <c r="J82" t="s">
        <v>16</v>
      </c>
      <c r="K82">
        <v>5</v>
      </c>
      <c r="L82" s="9">
        <f>Tablo1[[#This Row],[Toplam_Kar]]/Tablo1[[#This Row],[Toplam_Ciro]]</f>
        <v>0.29259316821900777</v>
      </c>
      <c r="M82" s="3">
        <f>Tablo1[[#This Row],[Birim_Fiyat]]-(Tablo1[[#This Row],[Toplam_Kar]]/Tablo1[[#This Row],[Urun_Adedi]])</f>
        <v>2548.8999999999996</v>
      </c>
    </row>
    <row r="83" spans="1:13" x14ac:dyDescent="0.3">
      <c r="A83" t="s">
        <v>186</v>
      </c>
      <c r="B83" t="s">
        <v>187</v>
      </c>
      <c r="C83" t="s">
        <v>13</v>
      </c>
      <c r="D83" t="s">
        <v>40</v>
      </c>
      <c r="E83" t="s">
        <v>15</v>
      </c>
      <c r="F83">
        <v>2</v>
      </c>
      <c r="G83" s="3">
        <v>3990</v>
      </c>
      <c r="H83" s="3">
        <v>7980</v>
      </c>
      <c r="I83" s="3">
        <v>2334.48</v>
      </c>
      <c r="J83" t="s">
        <v>24</v>
      </c>
      <c r="K83">
        <v>2</v>
      </c>
      <c r="L83" s="9">
        <f>Tablo1[[#This Row],[Toplam_Kar]]/Tablo1[[#This Row],[Toplam_Ciro]]</f>
        <v>0.29254135338345866</v>
      </c>
      <c r="M83" s="3">
        <f>Tablo1[[#This Row],[Birim_Fiyat]]-(Tablo1[[#This Row],[Toplam_Kar]]/Tablo1[[#This Row],[Urun_Adedi]])</f>
        <v>2822.76</v>
      </c>
    </row>
    <row r="84" spans="1:13" x14ac:dyDescent="0.3">
      <c r="A84" t="s">
        <v>188</v>
      </c>
      <c r="B84" t="s">
        <v>189</v>
      </c>
      <c r="C84" t="s">
        <v>44</v>
      </c>
      <c r="D84" t="s">
        <v>23</v>
      </c>
      <c r="E84" t="s">
        <v>15</v>
      </c>
      <c r="F84">
        <v>2</v>
      </c>
      <c r="G84" s="3">
        <v>4615.54</v>
      </c>
      <c r="H84" s="3">
        <v>9231.08</v>
      </c>
      <c r="I84" s="3">
        <v>3774.53</v>
      </c>
      <c r="J84" t="s">
        <v>36</v>
      </c>
      <c r="K84">
        <v>6</v>
      </c>
      <c r="L84" s="9">
        <f>Tablo1[[#This Row],[Toplam_Kar]]/Tablo1[[#This Row],[Toplam_Ciro]]</f>
        <v>0.40889365058043048</v>
      </c>
      <c r="M84" s="3">
        <f>Tablo1[[#This Row],[Birim_Fiyat]]-(Tablo1[[#This Row],[Toplam_Kar]]/Tablo1[[#This Row],[Urun_Adedi]])</f>
        <v>2728.2749999999996</v>
      </c>
    </row>
    <row r="85" spans="1:13" x14ac:dyDescent="0.3">
      <c r="A85" t="s">
        <v>190</v>
      </c>
      <c r="B85" t="s">
        <v>191</v>
      </c>
      <c r="C85" t="s">
        <v>44</v>
      </c>
      <c r="D85" t="s">
        <v>14</v>
      </c>
      <c r="E85" t="s">
        <v>15</v>
      </c>
      <c r="F85">
        <v>8</v>
      </c>
      <c r="G85" s="3">
        <v>4140.8599999999997</v>
      </c>
      <c r="H85" s="3">
        <v>33126.879999999997</v>
      </c>
      <c r="I85" s="3">
        <v>7477.36</v>
      </c>
      <c r="J85" t="s">
        <v>24</v>
      </c>
      <c r="K85">
        <v>4</v>
      </c>
      <c r="L85" s="9">
        <f>Tablo1[[#This Row],[Toplam_Kar]]/Tablo1[[#This Row],[Toplam_Ciro]]</f>
        <v>0.22571881203421512</v>
      </c>
      <c r="M85" s="3">
        <f>Tablo1[[#This Row],[Birim_Fiyat]]-(Tablo1[[#This Row],[Toplam_Kar]]/Tablo1[[#This Row],[Urun_Adedi]])</f>
        <v>3206.1899999999996</v>
      </c>
    </row>
    <row r="86" spans="1:13" x14ac:dyDescent="0.3">
      <c r="A86" t="s">
        <v>192</v>
      </c>
      <c r="B86" t="s">
        <v>193</v>
      </c>
      <c r="C86" t="s">
        <v>70</v>
      </c>
      <c r="D86" t="s">
        <v>28</v>
      </c>
      <c r="E86" t="s">
        <v>15</v>
      </c>
      <c r="F86">
        <v>7</v>
      </c>
      <c r="G86" s="3">
        <v>2731.3</v>
      </c>
      <c r="H86" s="3">
        <v>19119.099999999999</v>
      </c>
      <c r="I86" s="3">
        <v>5433.83</v>
      </c>
      <c r="J86" t="s">
        <v>16</v>
      </c>
      <c r="K86">
        <v>7</v>
      </c>
      <c r="L86" s="9">
        <f>Tablo1[[#This Row],[Toplam_Kar]]/Tablo1[[#This Row],[Toplam_Ciro]]</f>
        <v>0.28420950776971721</v>
      </c>
      <c r="M86" s="3">
        <f>Tablo1[[#This Row],[Birim_Fiyat]]-(Tablo1[[#This Row],[Toplam_Kar]]/Tablo1[[#This Row],[Urun_Adedi]])</f>
        <v>1955.0385714285717</v>
      </c>
    </row>
    <row r="87" spans="1:13" x14ac:dyDescent="0.3">
      <c r="A87" t="s">
        <v>194</v>
      </c>
      <c r="B87" t="s">
        <v>195</v>
      </c>
      <c r="C87" t="s">
        <v>44</v>
      </c>
      <c r="D87" t="s">
        <v>58</v>
      </c>
      <c r="E87" t="s">
        <v>29</v>
      </c>
      <c r="F87">
        <v>8</v>
      </c>
      <c r="G87" s="3">
        <v>4681.8100000000004</v>
      </c>
      <c r="H87" s="3">
        <v>37454.480000000003</v>
      </c>
      <c r="I87" s="3">
        <v>12391.49</v>
      </c>
      <c r="J87" t="s">
        <v>16</v>
      </c>
      <c r="K87">
        <v>3</v>
      </c>
      <c r="L87" s="9">
        <f>Tablo1[[#This Row],[Toplam_Kar]]/Tablo1[[#This Row],[Toplam_Ciro]]</f>
        <v>0.33084133059650006</v>
      </c>
      <c r="M87" s="3">
        <f>Tablo1[[#This Row],[Birim_Fiyat]]-(Tablo1[[#This Row],[Toplam_Kar]]/Tablo1[[#This Row],[Urun_Adedi]])</f>
        <v>3132.8737500000007</v>
      </c>
    </row>
    <row r="88" spans="1:13" x14ac:dyDescent="0.3">
      <c r="A88" t="s">
        <v>196</v>
      </c>
      <c r="B88" t="s">
        <v>197</v>
      </c>
      <c r="C88" t="s">
        <v>32</v>
      </c>
      <c r="D88" t="s">
        <v>40</v>
      </c>
      <c r="E88" t="s">
        <v>35</v>
      </c>
      <c r="F88">
        <v>7</v>
      </c>
      <c r="G88" s="3">
        <v>2066.14</v>
      </c>
      <c r="H88" s="3">
        <v>14462.98</v>
      </c>
      <c r="I88" s="3">
        <v>1806.84</v>
      </c>
      <c r="J88" t="s">
        <v>24</v>
      </c>
      <c r="K88">
        <v>2</v>
      </c>
      <c r="L88" s="9">
        <f>Tablo1[[#This Row],[Toplam_Kar]]/Tablo1[[#This Row],[Toplam_Ciro]]</f>
        <v>0.12492861083953652</v>
      </c>
      <c r="M88" s="3">
        <f>Tablo1[[#This Row],[Birim_Fiyat]]-(Tablo1[[#This Row],[Toplam_Kar]]/Tablo1[[#This Row],[Urun_Adedi]])</f>
        <v>1808.02</v>
      </c>
    </row>
    <row r="89" spans="1:13" x14ac:dyDescent="0.3">
      <c r="A89" t="s">
        <v>198</v>
      </c>
      <c r="B89" t="s">
        <v>199</v>
      </c>
      <c r="C89" t="s">
        <v>114</v>
      </c>
      <c r="D89" t="s">
        <v>14</v>
      </c>
      <c r="E89" t="s">
        <v>35</v>
      </c>
      <c r="F89">
        <v>8</v>
      </c>
      <c r="G89" s="3">
        <v>4710.7299999999996</v>
      </c>
      <c r="H89" s="3">
        <v>37685.839999999997</v>
      </c>
      <c r="I89" s="3">
        <v>4536.74</v>
      </c>
      <c r="J89" t="s">
        <v>16</v>
      </c>
      <c r="K89">
        <v>6</v>
      </c>
      <c r="L89" s="9">
        <f>Tablo1[[#This Row],[Toplam_Kar]]/Tablo1[[#This Row],[Toplam_Ciro]]</f>
        <v>0.12038314656114871</v>
      </c>
      <c r="M89" s="3">
        <f>Tablo1[[#This Row],[Birim_Fiyat]]-(Tablo1[[#This Row],[Toplam_Kar]]/Tablo1[[#This Row],[Urun_Adedi]])</f>
        <v>4143.6374999999998</v>
      </c>
    </row>
    <row r="90" spans="1:13" x14ac:dyDescent="0.3">
      <c r="A90" t="s">
        <v>200</v>
      </c>
      <c r="B90" t="s">
        <v>201</v>
      </c>
      <c r="C90" t="s">
        <v>27</v>
      </c>
      <c r="D90" t="s">
        <v>23</v>
      </c>
      <c r="E90" t="s">
        <v>29</v>
      </c>
      <c r="F90">
        <v>3</v>
      </c>
      <c r="G90" s="3">
        <v>4053.7</v>
      </c>
      <c r="H90" s="3">
        <v>12161.1</v>
      </c>
      <c r="I90" s="3">
        <v>5102</v>
      </c>
      <c r="J90" t="s">
        <v>16</v>
      </c>
      <c r="K90">
        <v>4</v>
      </c>
      <c r="L90" s="9">
        <f>Tablo1[[#This Row],[Toplam_Kar]]/Tablo1[[#This Row],[Toplam_Ciro]]</f>
        <v>0.41953441711687262</v>
      </c>
      <c r="M90" s="3">
        <f>Tablo1[[#This Row],[Birim_Fiyat]]-(Tablo1[[#This Row],[Toplam_Kar]]/Tablo1[[#This Row],[Urun_Adedi]])</f>
        <v>2353.0333333333328</v>
      </c>
    </row>
    <row r="91" spans="1:13" x14ac:dyDescent="0.3">
      <c r="A91" t="s">
        <v>202</v>
      </c>
      <c r="B91" t="s">
        <v>203</v>
      </c>
      <c r="C91" t="s">
        <v>13</v>
      </c>
      <c r="D91" t="s">
        <v>14</v>
      </c>
      <c r="E91" t="s">
        <v>15</v>
      </c>
      <c r="F91">
        <v>6</v>
      </c>
      <c r="G91" s="3">
        <v>570.19000000000005</v>
      </c>
      <c r="H91" s="3">
        <v>3421.14</v>
      </c>
      <c r="I91" s="3">
        <v>1093.52</v>
      </c>
      <c r="J91" t="s">
        <v>16</v>
      </c>
      <c r="K91">
        <v>5</v>
      </c>
      <c r="L91" s="9">
        <f>Tablo1[[#This Row],[Toplam_Kar]]/Tablo1[[#This Row],[Toplam_Ciro]]</f>
        <v>0.31963614467692059</v>
      </c>
      <c r="M91" s="3">
        <f>Tablo1[[#This Row],[Birim_Fiyat]]-(Tablo1[[#This Row],[Toplam_Kar]]/Tablo1[[#This Row],[Urun_Adedi]])</f>
        <v>387.93666666666672</v>
      </c>
    </row>
    <row r="92" spans="1:13" x14ac:dyDescent="0.3">
      <c r="A92" t="s">
        <v>204</v>
      </c>
      <c r="B92" t="s">
        <v>205</v>
      </c>
      <c r="C92" t="s">
        <v>32</v>
      </c>
      <c r="D92" t="s">
        <v>28</v>
      </c>
      <c r="E92" t="s">
        <v>35</v>
      </c>
      <c r="F92">
        <v>7</v>
      </c>
      <c r="G92" s="3">
        <v>1455.54</v>
      </c>
      <c r="H92" s="3">
        <v>10188.780000000001</v>
      </c>
      <c r="I92" s="3">
        <v>2942.52</v>
      </c>
      <c r="J92" t="s">
        <v>16</v>
      </c>
      <c r="K92">
        <v>7</v>
      </c>
      <c r="L92" s="9">
        <f>Tablo1[[#This Row],[Toplam_Kar]]/Tablo1[[#This Row],[Toplam_Ciro]]</f>
        <v>0.28880003297745166</v>
      </c>
      <c r="M92" s="3">
        <f>Tablo1[[#This Row],[Birim_Fiyat]]-(Tablo1[[#This Row],[Toplam_Kar]]/Tablo1[[#This Row],[Urun_Adedi]])</f>
        <v>1035.1799999999998</v>
      </c>
    </row>
    <row r="93" spans="1:13" x14ac:dyDescent="0.3">
      <c r="A93" t="s">
        <v>206</v>
      </c>
      <c r="B93" t="s">
        <v>207</v>
      </c>
      <c r="C93" t="s">
        <v>70</v>
      </c>
      <c r="D93" t="s">
        <v>14</v>
      </c>
      <c r="E93" t="s">
        <v>15</v>
      </c>
      <c r="F93">
        <v>7</v>
      </c>
      <c r="G93" s="3">
        <v>2912.09</v>
      </c>
      <c r="H93" s="3">
        <v>20384.63</v>
      </c>
      <c r="I93" s="3">
        <v>4063.1</v>
      </c>
      <c r="J93" t="s">
        <v>24</v>
      </c>
      <c r="K93">
        <v>5</v>
      </c>
      <c r="L93" s="9">
        <f>Tablo1[[#This Row],[Toplam_Kar]]/Tablo1[[#This Row],[Toplam_Ciro]]</f>
        <v>0.19932174388252324</v>
      </c>
      <c r="M93" s="3">
        <f>Tablo1[[#This Row],[Birim_Fiyat]]-(Tablo1[[#This Row],[Toplam_Kar]]/Tablo1[[#This Row],[Urun_Adedi]])</f>
        <v>2331.6471428571431</v>
      </c>
    </row>
    <row r="94" spans="1:13" x14ac:dyDescent="0.3">
      <c r="A94" t="s">
        <v>208</v>
      </c>
      <c r="B94" t="s">
        <v>209</v>
      </c>
      <c r="C94" t="s">
        <v>39</v>
      </c>
      <c r="D94" t="s">
        <v>28</v>
      </c>
      <c r="E94" t="s">
        <v>15</v>
      </c>
      <c r="F94">
        <v>3</v>
      </c>
      <c r="G94" s="3">
        <v>709.66</v>
      </c>
      <c r="H94" s="3">
        <v>2128.98</v>
      </c>
      <c r="I94" s="3">
        <v>416.46</v>
      </c>
      <c r="J94" t="s">
        <v>16</v>
      </c>
      <c r="K94">
        <v>3</v>
      </c>
      <c r="L94" s="9">
        <f>Tablo1[[#This Row],[Toplam_Kar]]/Tablo1[[#This Row],[Toplam_Ciro]]</f>
        <v>0.1956148014542175</v>
      </c>
      <c r="M94" s="3">
        <f>Tablo1[[#This Row],[Birim_Fiyat]]-(Tablo1[[#This Row],[Toplam_Kar]]/Tablo1[[#This Row],[Urun_Adedi]])</f>
        <v>570.83999999999992</v>
      </c>
    </row>
    <row r="95" spans="1:13" x14ac:dyDescent="0.3">
      <c r="A95" t="s">
        <v>210</v>
      </c>
      <c r="B95" t="s">
        <v>211</v>
      </c>
      <c r="C95" t="s">
        <v>70</v>
      </c>
      <c r="D95" t="s">
        <v>40</v>
      </c>
      <c r="E95" t="s">
        <v>15</v>
      </c>
      <c r="F95">
        <v>4</v>
      </c>
      <c r="G95" s="3">
        <v>4740.75</v>
      </c>
      <c r="H95" s="3">
        <v>18963</v>
      </c>
      <c r="I95" s="3">
        <v>4722.57</v>
      </c>
      <c r="J95" t="s">
        <v>16</v>
      </c>
      <c r="K95">
        <v>7</v>
      </c>
      <c r="L95" s="9">
        <f>Tablo1[[#This Row],[Toplam_Kar]]/Tablo1[[#This Row],[Toplam_Ciro]]</f>
        <v>0.24904129093497862</v>
      </c>
      <c r="M95" s="3">
        <f>Tablo1[[#This Row],[Birim_Fiyat]]-(Tablo1[[#This Row],[Toplam_Kar]]/Tablo1[[#This Row],[Urun_Adedi]])</f>
        <v>3560.1075000000001</v>
      </c>
    </row>
    <row r="96" spans="1:13" x14ac:dyDescent="0.3">
      <c r="A96" t="s">
        <v>212</v>
      </c>
      <c r="B96" t="s">
        <v>213</v>
      </c>
      <c r="C96" t="s">
        <v>32</v>
      </c>
      <c r="D96" t="s">
        <v>58</v>
      </c>
      <c r="E96" t="s">
        <v>20</v>
      </c>
      <c r="F96">
        <v>7</v>
      </c>
      <c r="G96" s="3">
        <v>4030.89</v>
      </c>
      <c r="H96" s="3">
        <v>28216.23</v>
      </c>
      <c r="I96" s="3">
        <v>3688.55</v>
      </c>
      <c r="J96" t="s">
        <v>36</v>
      </c>
      <c r="K96">
        <v>4</v>
      </c>
      <c r="L96" s="9">
        <f>Tablo1[[#This Row],[Toplam_Kar]]/Tablo1[[#This Row],[Toplam_Ciro]]</f>
        <v>0.1307244093204514</v>
      </c>
      <c r="M96" s="3">
        <f>Tablo1[[#This Row],[Birim_Fiyat]]-(Tablo1[[#This Row],[Toplam_Kar]]/Tablo1[[#This Row],[Urun_Adedi]])</f>
        <v>3503.9542857142856</v>
      </c>
    </row>
    <row r="97" spans="1:13" x14ac:dyDescent="0.3">
      <c r="A97" t="s">
        <v>214</v>
      </c>
      <c r="B97" t="s">
        <v>215</v>
      </c>
      <c r="C97" t="s">
        <v>39</v>
      </c>
      <c r="D97" t="s">
        <v>14</v>
      </c>
      <c r="E97" t="s">
        <v>29</v>
      </c>
      <c r="F97">
        <v>8</v>
      </c>
      <c r="G97" s="3">
        <v>1541.8</v>
      </c>
      <c r="H97" s="3">
        <v>12334.4</v>
      </c>
      <c r="I97" s="3">
        <v>4324.72</v>
      </c>
      <c r="J97" t="s">
        <v>16</v>
      </c>
      <c r="K97">
        <v>6</v>
      </c>
      <c r="L97" s="9">
        <f>Tablo1[[#This Row],[Toplam_Kar]]/Tablo1[[#This Row],[Toplam_Ciro]]</f>
        <v>0.35062264885199124</v>
      </c>
      <c r="M97" s="3">
        <f>Tablo1[[#This Row],[Birim_Fiyat]]-(Tablo1[[#This Row],[Toplam_Kar]]/Tablo1[[#This Row],[Urun_Adedi]])</f>
        <v>1001.2099999999999</v>
      </c>
    </row>
    <row r="98" spans="1:13" x14ac:dyDescent="0.3">
      <c r="A98" t="s">
        <v>216</v>
      </c>
      <c r="B98" t="s">
        <v>217</v>
      </c>
      <c r="C98" t="s">
        <v>32</v>
      </c>
      <c r="D98" t="s">
        <v>23</v>
      </c>
      <c r="E98" t="s">
        <v>20</v>
      </c>
      <c r="F98">
        <v>2</v>
      </c>
      <c r="G98" s="3">
        <v>860.91</v>
      </c>
      <c r="H98" s="3">
        <v>1721.82</v>
      </c>
      <c r="I98" s="3">
        <v>561.66999999999996</v>
      </c>
      <c r="J98" t="s">
        <v>16</v>
      </c>
      <c r="K98">
        <v>6</v>
      </c>
      <c r="L98" s="9">
        <f>Tablo1[[#This Row],[Toplam_Kar]]/Tablo1[[#This Row],[Toplam_Ciro]]</f>
        <v>0.32620715289635382</v>
      </c>
      <c r="M98" s="3">
        <f>Tablo1[[#This Row],[Birim_Fiyat]]-(Tablo1[[#This Row],[Toplam_Kar]]/Tablo1[[#This Row],[Urun_Adedi]])</f>
        <v>580.07500000000005</v>
      </c>
    </row>
    <row r="99" spans="1:13" x14ac:dyDescent="0.3">
      <c r="A99" t="s">
        <v>218</v>
      </c>
      <c r="B99" t="s">
        <v>219</v>
      </c>
      <c r="C99" t="s">
        <v>70</v>
      </c>
      <c r="D99" t="s">
        <v>28</v>
      </c>
      <c r="E99" t="s">
        <v>15</v>
      </c>
      <c r="F99">
        <v>7</v>
      </c>
      <c r="G99" s="3">
        <v>3600.2</v>
      </c>
      <c r="H99" s="3">
        <v>25201.4</v>
      </c>
      <c r="I99" s="3">
        <v>6423.53</v>
      </c>
      <c r="J99" t="s">
        <v>16</v>
      </c>
      <c r="K99">
        <v>3</v>
      </c>
      <c r="L99" s="9">
        <f>Tablo1[[#This Row],[Toplam_Kar]]/Tablo1[[#This Row],[Toplam_Ciro]]</f>
        <v>0.25488782369233454</v>
      </c>
      <c r="M99" s="3">
        <f>Tablo1[[#This Row],[Birim_Fiyat]]-(Tablo1[[#This Row],[Toplam_Kar]]/Tablo1[[#This Row],[Urun_Adedi]])</f>
        <v>2682.5528571428567</v>
      </c>
    </row>
    <row r="100" spans="1:13" x14ac:dyDescent="0.3">
      <c r="A100" t="s">
        <v>220</v>
      </c>
      <c r="B100" t="s">
        <v>221</v>
      </c>
      <c r="C100" t="s">
        <v>27</v>
      </c>
      <c r="D100" t="s">
        <v>14</v>
      </c>
      <c r="E100" t="s">
        <v>29</v>
      </c>
      <c r="F100">
        <v>7</v>
      </c>
      <c r="G100" s="3">
        <v>820.56</v>
      </c>
      <c r="H100" s="3">
        <v>5743.92</v>
      </c>
      <c r="I100" s="3">
        <v>1267.42</v>
      </c>
      <c r="J100" t="s">
        <v>24</v>
      </c>
      <c r="K100">
        <v>2</v>
      </c>
      <c r="L100" s="9">
        <f>Tablo1[[#This Row],[Toplam_Kar]]/Tablo1[[#This Row],[Toplam_Ciro]]</f>
        <v>0.2206541873842254</v>
      </c>
      <c r="M100" s="3">
        <f>Tablo1[[#This Row],[Birim_Fiyat]]-(Tablo1[[#This Row],[Toplam_Kar]]/Tablo1[[#This Row],[Urun_Adedi]])</f>
        <v>639.5</v>
      </c>
    </row>
    <row r="101" spans="1:13" x14ac:dyDescent="0.3">
      <c r="A101" t="s">
        <v>222</v>
      </c>
      <c r="B101" t="s">
        <v>223</v>
      </c>
      <c r="C101" t="s">
        <v>53</v>
      </c>
      <c r="D101" t="s">
        <v>28</v>
      </c>
      <c r="E101" t="s">
        <v>29</v>
      </c>
      <c r="F101">
        <v>7</v>
      </c>
      <c r="G101" s="3">
        <v>2639.36</v>
      </c>
      <c r="H101" s="3">
        <v>18475.52</v>
      </c>
      <c r="I101" s="3">
        <v>8162.12</v>
      </c>
      <c r="J101" t="s">
        <v>24</v>
      </c>
      <c r="K101">
        <v>5</v>
      </c>
      <c r="L101" s="9">
        <f>Tablo1[[#This Row],[Toplam_Kar]]/Tablo1[[#This Row],[Toplam_Ciro]]</f>
        <v>0.44178025841762503</v>
      </c>
      <c r="M101" s="3">
        <f>Tablo1[[#This Row],[Birim_Fiyat]]-(Tablo1[[#This Row],[Toplam_Kar]]/Tablo1[[#This Row],[Urun_Adedi]])</f>
        <v>1473.3428571428574</v>
      </c>
    </row>
    <row r="102" spans="1:13" x14ac:dyDescent="0.3">
      <c r="A102" t="s">
        <v>224</v>
      </c>
      <c r="B102" t="s">
        <v>225</v>
      </c>
      <c r="C102" t="s">
        <v>114</v>
      </c>
      <c r="D102" t="s">
        <v>40</v>
      </c>
      <c r="E102" t="s">
        <v>35</v>
      </c>
      <c r="F102">
        <v>1</v>
      </c>
      <c r="G102" s="3">
        <v>668.38</v>
      </c>
      <c r="H102" s="3">
        <v>668.38</v>
      </c>
      <c r="I102" s="3">
        <v>239.18</v>
      </c>
      <c r="J102" t="s">
        <v>36</v>
      </c>
      <c r="K102">
        <v>2</v>
      </c>
      <c r="L102" s="9">
        <f>Tablo1[[#This Row],[Toplam_Kar]]/Tablo1[[#This Row],[Toplam_Ciro]]</f>
        <v>0.3578503246656094</v>
      </c>
      <c r="M102" s="3">
        <f>Tablo1[[#This Row],[Birim_Fiyat]]-(Tablo1[[#This Row],[Toplam_Kar]]/Tablo1[[#This Row],[Urun_Adedi]])</f>
        <v>429.2</v>
      </c>
    </row>
    <row r="103" spans="1:13" x14ac:dyDescent="0.3">
      <c r="A103" t="s">
        <v>226</v>
      </c>
      <c r="B103" t="s">
        <v>227</v>
      </c>
      <c r="C103" t="s">
        <v>32</v>
      </c>
      <c r="D103" t="s">
        <v>40</v>
      </c>
      <c r="E103" t="s">
        <v>15</v>
      </c>
      <c r="F103">
        <v>7</v>
      </c>
      <c r="G103" s="3">
        <v>1629.21</v>
      </c>
      <c r="H103" s="3">
        <v>11404.47</v>
      </c>
      <c r="I103" s="3">
        <v>3255.23</v>
      </c>
      <c r="J103" t="s">
        <v>16</v>
      </c>
      <c r="K103">
        <v>2</v>
      </c>
      <c r="L103" s="9">
        <f>Tablo1[[#This Row],[Toplam_Kar]]/Tablo1[[#This Row],[Toplam_Ciro]]</f>
        <v>0.28543457083056034</v>
      </c>
      <c r="M103" s="3">
        <f>Tablo1[[#This Row],[Birim_Fiyat]]-(Tablo1[[#This Row],[Toplam_Kar]]/Tablo1[[#This Row],[Urun_Adedi]])</f>
        <v>1164.1771428571428</v>
      </c>
    </row>
    <row r="104" spans="1:13" x14ac:dyDescent="0.3">
      <c r="A104" t="s">
        <v>228</v>
      </c>
      <c r="B104" t="s">
        <v>229</v>
      </c>
      <c r="C104" t="s">
        <v>114</v>
      </c>
      <c r="D104" t="s">
        <v>28</v>
      </c>
      <c r="E104" t="s">
        <v>29</v>
      </c>
      <c r="F104">
        <v>8</v>
      </c>
      <c r="G104" s="3">
        <v>3957.43</v>
      </c>
      <c r="H104" s="3">
        <v>31659.439999999999</v>
      </c>
      <c r="I104" s="3">
        <v>8183.51</v>
      </c>
      <c r="J104" t="s">
        <v>24</v>
      </c>
      <c r="K104">
        <v>1</v>
      </c>
      <c r="L104" s="9">
        <f>Tablo1[[#This Row],[Toplam_Kar]]/Tablo1[[#This Row],[Toplam_Ciro]]</f>
        <v>0.25848562071849662</v>
      </c>
      <c r="M104" s="3">
        <f>Tablo1[[#This Row],[Birim_Fiyat]]-(Tablo1[[#This Row],[Toplam_Kar]]/Tablo1[[#This Row],[Urun_Adedi]])</f>
        <v>2934.49125</v>
      </c>
    </row>
    <row r="105" spans="1:13" x14ac:dyDescent="0.3">
      <c r="A105" t="s">
        <v>230</v>
      </c>
      <c r="B105" t="s">
        <v>197</v>
      </c>
      <c r="C105" s="5"/>
      <c r="D105" t="s">
        <v>23</v>
      </c>
      <c r="E105" t="s">
        <v>29</v>
      </c>
      <c r="F105">
        <v>3</v>
      </c>
      <c r="G105" s="3">
        <v>2506.2800000000002</v>
      </c>
      <c r="H105" s="3">
        <v>7518.84</v>
      </c>
      <c r="I105" s="3">
        <v>1534.31</v>
      </c>
      <c r="J105" t="s">
        <v>36</v>
      </c>
      <c r="K105">
        <v>4</v>
      </c>
      <c r="L105" s="9">
        <f>Tablo1[[#This Row],[Toplam_Kar]]/Tablo1[[#This Row],[Toplam_Ciro]]</f>
        <v>0.20406206276500097</v>
      </c>
      <c r="M105" s="3">
        <f>Tablo1[[#This Row],[Birim_Fiyat]]-(Tablo1[[#This Row],[Toplam_Kar]]/Tablo1[[#This Row],[Urun_Adedi]])</f>
        <v>1994.8433333333335</v>
      </c>
    </row>
    <row r="106" spans="1:13" x14ac:dyDescent="0.3">
      <c r="A106" t="s">
        <v>231</v>
      </c>
      <c r="B106" t="s">
        <v>52</v>
      </c>
      <c r="C106" t="s">
        <v>44</v>
      </c>
      <c r="D106" t="s">
        <v>28</v>
      </c>
      <c r="E106" t="s">
        <v>35</v>
      </c>
      <c r="F106">
        <v>2</v>
      </c>
      <c r="G106" s="3">
        <v>2313.0100000000002</v>
      </c>
      <c r="H106" s="3">
        <v>4626.0200000000004</v>
      </c>
      <c r="I106" s="4">
        <v>1524</v>
      </c>
      <c r="J106" t="s">
        <v>16</v>
      </c>
      <c r="K106">
        <v>5</v>
      </c>
      <c r="L106" s="9">
        <f>Tablo1[[#This Row],[Toplam_Kar]]/Tablo1[[#This Row],[Toplam_Ciro]]</f>
        <v>0.32944085844851512</v>
      </c>
      <c r="M106" s="3">
        <f>Tablo1[[#This Row],[Birim_Fiyat]]-(Tablo1[[#This Row],[Toplam_Kar]]/Tablo1[[#This Row],[Urun_Adedi]])</f>
        <v>1551.0100000000002</v>
      </c>
    </row>
    <row r="107" spans="1:13" x14ac:dyDescent="0.3">
      <c r="A107" t="s">
        <v>232</v>
      </c>
      <c r="B107" t="s">
        <v>233</v>
      </c>
      <c r="C107" t="s">
        <v>70</v>
      </c>
      <c r="D107" t="s">
        <v>58</v>
      </c>
      <c r="E107" t="s">
        <v>29</v>
      </c>
      <c r="F107">
        <v>2</v>
      </c>
      <c r="G107" s="3">
        <v>3000.78</v>
      </c>
      <c r="H107" s="3">
        <v>6001.56</v>
      </c>
      <c r="I107" s="3">
        <v>2073.33</v>
      </c>
      <c r="J107" t="s">
        <v>24</v>
      </c>
      <c r="K107">
        <v>2</v>
      </c>
      <c r="L107" s="9">
        <f>Tablo1[[#This Row],[Toplam_Kar]]/Tablo1[[#This Row],[Toplam_Ciro]]</f>
        <v>0.34546517905344609</v>
      </c>
      <c r="M107" s="3">
        <f>Tablo1[[#This Row],[Birim_Fiyat]]-(Tablo1[[#This Row],[Toplam_Kar]]/Tablo1[[#This Row],[Urun_Adedi]])</f>
        <v>1964.1150000000002</v>
      </c>
    </row>
    <row r="108" spans="1:13" x14ac:dyDescent="0.3">
      <c r="A108" t="s">
        <v>234</v>
      </c>
      <c r="B108" t="s">
        <v>72</v>
      </c>
      <c r="C108" s="5"/>
      <c r="D108" t="s">
        <v>28</v>
      </c>
      <c r="E108" t="s">
        <v>20</v>
      </c>
      <c r="F108">
        <v>3</v>
      </c>
      <c r="G108" s="3">
        <v>1327.57</v>
      </c>
      <c r="H108" s="3">
        <v>3982.71</v>
      </c>
      <c r="I108" s="3">
        <v>1654.68</v>
      </c>
      <c r="J108" t="s">
        <v>16</v>
      </c>
      <c r="K108">
        <v>7</v>
      </c>
      <c r="L108" s="9">
        <f>Tablo1[[#This Row],[Toplam_Kar]]/Tablo1[[#This Row],[Toplam_Ciro]]</f>
        <v>0.41546585114155943</v>
      </c>
      <c r="M108" s="3">
        <f>Tablo1[[#This Row],[Birim_Fiyat]]-(Tablo1[[#This Row],[Toplam_Kar]]/Tablo1[[#This Row],[Urun_Adedi]])</f>
        <v>776.00999999999988</v>
      </c>
    </row>
    <row r="109" spans="1:13" x14ac:dyDescent="0.3">
      <c r="A109" t="s">
        <v>235</v>
      </c>
      <c r="B109" t="s">
        <v>236</v>
      </c>
      <c r="C109" s="5"/>
      <c r="D109" t="s">
        <v>58</v>
      </c>
      <c r="E109" t="s">
        <v>29</v>
      </c>
      <c r="F109">
        <v>3</v>
      </c>
      <c r="G109" s="3">
        <v>2916.95</v>
      </c>
      <c r="H109" s="3">
        <v>8750.85</v>
      </c>
      <c r="I109" s="3">
        <v>3937.05</v>
      </c>
      <c r="J109" t="s">
        <v>36</v>
      </c>
      <c r="K109">
        <v>2</v>
      </c>
      <c r="L109" s="9">
        <f>Tablo1[[#This Row],[Toplam_Kar]]/Tablo1[[#This Row],[Toplam_Ciro]]</f>
        <v>0.44990486638440835</v>
      </c>
      <c r="M109" s="3">
        <f>Tablo1[[#This Row],[Birim_Fiyat]]-(Tablo1[[#This Row],[Toplam_Kar]]/Tablo1[[#This Row],[Urun_Adedi]])</f>
        <v>1604.5999999999997</v>
      </c>
    </row>
    <row r="110" spans="1:13" x14ac:dyDescent="0.3">
      <c r="A110" t="s">
        <v>237</v>
      </c>
      <c r="B110" t="s">
        <v>238</v>
      </c>
      <c r="C110" t="s">
        <v>13</v>
      </c>
      <c r="D110" t="s">
        <v>28</v>
      </c>
      <c r="E110" t="s">
        <v>15</v>
      </c>
      <c r="F110">
        <v>3</v>
      </c>
      <c r="G110" s="3">
        <v>2311.7600000000002</v>
      </c>
      <c r="H110" s="3">
        <v>6935.28</v>
      </c>
      <c r="I110" s="3">
        <v>1126.8599999999999</v>
      </c>
      <c r="J110" t="s">
        <v>16</v>
      </c>
      <c r="K110">
        <v>2</v>
      </c>
      <c r="L110" s="9">
        <f>Tablo1[[#This Row],[Toplam_Kar]]/Tablo1[[#This Row],[Toplam_Ciro]]</f>
        <v>0.16248226459494064</v>
      </c>
      <c r="M110" s="3">
        <f>Tablo1[[#This Row],[Birim_Fiyat]]-(Tablo1[[#This Row],[Toplam_Kar]]/Tablo1[[#This Row],[Urun_Adedi]])</f>
        <v>1936.1400000000003</v>
      </c>
    </row>
    <row r="111" spans="1:13" x14ac:dyDescent="0.3">
      <c r="A111" t="s">
        <v>239</v>
      </c>
      <c r="B111" t="s">
        <v>240</v>
      </c>
      <c r="C111" t="s">
        <v>61</v>
      </c>
      <c r="D111" t="s">
        <v>14</v>
      </c>
      <c r="E111" t="s">
        <v>29</v>
      </c>
      <c r="F111">
        <v>5</v>
      </c>
      <c r="G111" s="3">
        <v>4905.55</v>
      </c>
      <c r="H111" s="3">
        <v>24527.75</v>
      </c>
      <c r="I111" s="3">
        <v>3714.15</v>
      </c>
      <c r="J111" t="s">
        <v>36</v>
      </c>
      <c r="K111">
        <v>5</v>
      </c>
      <c r="L111" s="9">
        <f>Tablo1[[#This Row],[Toplam_Kar]]/Tablo1[[#This Row],[Toplam_Ciro]]</f>
        <v>0.15142644555656348</v>
      </c>
      <c r="M111" s="3">
        <f>Tablo1[[#This Row],[Birim_Fiyat]]-(Tablo1[[#This Row],[Toplam_Kar]]/Tablo1[[#This Row],[Urun_Adedi]])</f>
        <v>4162.72</v>
      </c>
    </row>
    <row r="112" spans="1:13" x14ac:dyDescent="0.3">
      <c r="A112" t="s">
        <v>241</v>
      </c>
      <c r="B112" t="s">
        <v>242</v>
      </c>
      <c r="C112" t="s">
        <v>44</v>
      </c>
      <c r="D112" t="s">
        <v>14</v>
      </c>
      <c r="E112" t="s">
        <v>29</v>
      </c>
      <c r="F112">
        <v>5</v>
      </c>
      <c r="G112" s="3">
        <v>1940.77</v>
      </c>
      <c r="H112" s="3">
        <v>9703.85</v>
      </c>
      <c r="I112" s="3">
        <v>4261.6499999999996</v>
      </c>
      <c r="J112" t="s">
        <v>16</v>
      </c>
      <c r="K112">
        <v>6</v>
      </c>
      <c r="L112" s="9">
        <f>Tablo1[[#This Row],[Toplam_Kar]]/Tablo1[[#This Row],[Toplam_Ciro]]</f>
        <v>0.43917105066545747</v>
      </c>
      <c r="M112" s="3">
        <f>Tablo1[[#This Row],[Birim_Fiyat]]-(Tablo1[[#This Row],[Toplam_Kar]]/Tablo1[[#This Row],[Urun_Adedi]])</f>
        <v>1088.44</v>
      </c>
    </row>
    <row r="113" spans="1:13" x14ac:dyDescent="0.3">
      <c r="A113" t="s">
        <v>243</v>
      </c>
      <c r="B113" t="s">
        <v>244</v>
      </c>
      <c r="C113" t="s">
        <v>19</v>
      </c>
      <c r="D113" t="s">
        <v>14</v>
      </c>
      <c r="E113" t="s">
        <v>29</v>
      </c>
      <c r="F113">
        <v>8</v>
      </c>
      <c r="G113" s="3">
        <v>3037.32</v>
      </c>
      <c r="H113" s="3">
        <v>24298.560000000001</v>
      </c>
      <c r="I113" s="3">
        <v>7029.53</v>
      </c>
      <c r="J113" t="s">
        <v>16</v>
      </c>
      <c r="K113">
        <v>6</v>
      </c>
      <c r="L113" s="9">
        <f>Tablo1[[#This Row],[Toplam_Kar]]/Tablo1[[#This Row],[Toplam_Ciro]]</f>
        <v>0.28929821355668811</v>
      </c>
      <c r="M113" s="3">
        <f>Tablo1[[#This Row],[Birim_Fiyat]]-(Tablo1[[#This Row],[Toplam_Kar]]/Tablo1[[#This Row],[Urun_Adedi]])</f>
        <v>2158.6287500000003</v>
      </c>
    </row>
    <row r="114" spans="1:13" x14ac:dyDescent="0.3">
      <c r="A114" t="s">
        <v>245</v>
      </c>
      <c r="B114" t="s">
        <v>246</v>
      </c>
      <c r="C114" t="s">
        <v>53</v>
      </c>
      <c r="D114" t="s">
        <v>40</v>
      </c>
      <c r="E114" t="s">
        <v>29</v>
      </c>
      <c r="F114">
        <v>8</v>
      </c>
      <c r="G114" s="3">
        <v>794.02</v>
      </c>
      <c r="H114" s="3">
        <v>6352.16</v>
      </c>
      <c r="I114" s="3">
        <v>2241.6999999999998</v>
      </c>
      <c r="J114" t="s">
        <v>24</v>
      </c>
      <c r="K114">
        <v>5</v>
      </c>
      <c r="L114" s="9">
        <f>Tablo1[[#This Row],[Toplam_Kar]]/Tablo1[[#This Row],[Toplam_Ciro]]</f>
        <v>0.3529035792549306</v>
      </c>
      <c r="M114" s="3">
        <f>Tablo1[[#This Row],[Birim_Fiyat]]-(Tablo1[[#This Row],[Toplam_Kar]]/Tablo1[[#This Row],[Urun_Adedi]])</f>
        <v>513.8075</v>
      </c>
    </row>
    <row r="115" spans="1:13" x14ac:dyDescent="0.3">
      <c r="A115" t="s">
        <v>247</v>
      </c>
      <c r="B115" t="s">
        <v>248</v>
      </c>
      <c r="C115" t="s">
        <v>13</v>
      </c>
      <c r="D115" t="s">
        <v>40</v>
      </c>
      <c r="E115" t="s">
        <v>29</v>
      </c>
      <c r="F115">
        <v>6</v>
      </c>
      <c r="G115" s="3">
        <v>409.91</v>
      </c>
      <c r="H115" s="3">
        <v>2459.46</v>
      </c>
      <c r="I115" s="3">
        <v>887.52</v>
      </c>
      <c r="J115" t="s">
        <v>16</v>
      </c>
      <c r="K115">
        <v>4</v>
      </c>
      <c r="L115" s="9">
        <f>Tablo1[[#This Row],[Toplam_Kar]]/Tablo1[[#This Row],[Toplam_Ciro]]</f>
        <v>0.36085970090995584</v>
      </c>
      <c r="M115" s="3">
        <f>Tablo1[[#This Row],[Birim_Fiyat]]-(Tablo1[[#This Row],[Toplam_Kar]]/Tablo1[[#This Row],[Urun_Adedi]])</f>
        <v>261.99</v>
      </c>
    </row>
    <row r="116" spans="1:13" x14ac:dyDescent="0.3">
      <c r="A116" t="s">
        <v>249</v>
      </c>
      <c r="B116" t="s">
        <v>209</v>
      </c>
      <c r="C116" t="s">
        <v>53</v>
      </c>
      <c r="D116" t="s">
        <v>14</v>
      </c>
      <c r="E116" t="s">
        <v>35</v>
      </c>
      <c r="F116">
        <v>7</v>
      </c>
      <c r="G116" s="3">
        <v>3845.33</v>
      </c>
      <c r="H116" s="3">
        <v>26917.31</v>
      </c>
      <c r="I116" s="3">
        <v>11359.39</v>
      </c>
      <c r="J116" t="s">
        <v>24</v>
      </c>
      <c r="K116">
        <v>6</v>
      </c>
      <c r="L116" s="9">
        <f>Tablo1[[#This Row],[Toplam_Kar]]/Tablo1[[#This Row],[Toplam_Ciro]]</f>
        <v>0.42201059466937813</v>
      </c>
      <c r="M116" s="3">
        <f>Tablo1[[#This Row],[Birim_Fiyat]]-(Tablo1[[#This Row],[Toplam_Kar]]/Tablo1[[#This Row],[Urun_Adedi]])</f>
        <v>2222.56</v>
      </c>
    </row>
    <row r="117" spans="1:13" x14ac:dyDescent="0.3">
      <c r="A117" t="s">
        <v>250</v>
      </c>
      <c r="B117" t="s">
        <v>251</v>
      </c>
      <c r="C117" t="s">
        <v>114</v>
      </c>
      <c r="D117" t="s">
        <v>58</v>
      </c>
      <c r="E117" t="s">
        <v>29</v>
      </c>
      <c r="F117">
        <v>1</v>
      </c>
      <c r="G117" s="3">
        <v>1740.79</v>
      </c>
      <c r="H117" s="3">
        <v>1740.79</v>
      </c>
      <c r="I117" s="3">
        <v>426.73</v>
      </c>
      <c r="J117" t="s">
        <v>24</v>
      </c>
      <c r="K117">
        <v>4</v>
      </c>
      <c r="L117" s="9">
        <f>Tablo1[[#This Row],[Toplam_Kar]]/Tablo1[[#This Row],[Toplam_Ciro]]</f>
        <v>0.24513582913504789</v>
      </c>
      <c r="M117" s="3">
        <f>Tablo1[[#This Row],[Birim_Fiyat]]-(Tablo1[[#This Row],[Toplam_Kar]]/Tablo1[[#This Row],[Urun_Adedi]])</f>
        <v>1314.06</v>
      </c>
    </row>
    <row r="118" spans="1:13" x14ac:dyDescent="0.3">
      <c r="A118" t="s">
        <v>252</v>
      </c>
      <c r="B118" t="s">
        <v>253</v>
      </c>
      <c r="C118" t="s">
        <v>19</v>
      </c>
      <c r="D118" t="s">
        <v>14</v>
      </c>
      <c r="E118" t="s">
        <v>35</v>
      </c>
      <c r="F118">
        <v>6</v>
      </c>
      <c r="G118" s="3">
        <v>4554.41</v>
      </c>
      <c r="H118" s="3">
        <v>27326.46</v>
      </c>
      <c r="I118" s="3">
        <v>5178.4399999999996</v>
      </c>
      <c r="J118" t="s">
        <v>16</v>
      </c>
      <c r="K118">
        <v>7</v>
      </c>
      <c r="L118" s="9">
        <f>Tablo1[[#This Row],[Toplam_Kar]]/Tablo1[[#This Row],[Toplam_Ciro]]</f>
        <v>0.18950277496609513</v>
      </c>
      <c r="M118" s="3">
        <f>Tablo1[[#This Row],[Birim_Fiyat]]-(Tablo1[[#This Row],[Toplam_Kar]]/Tablo1[[#This Row],[Urun_Adedi]])</f>
        <v>3691.3366666666666</v>
      </c>
    </row>
    <row r="119" spans="1:13" x14ac:dyDescent="0.3">
      <c r="A119" t="s">
        <v>254</v>
      </c>
      <c r="B119" t="s">
        <v>255</v>
      </c>
      <c r="C119" t="s">
        <v>39</v>
      </c>
      <c r="D119" t="s">
        <v>14</v>
      </c>
      <c r="E119" t="s">
        <v>15</v>
      </c>
      <c r="F119">
        <v>1</v>
      </c>
      <c r="G119" s="3">
        <v>611.51</v>
      </c>
      <c r="H119" s="3">
        <v>611.51</v>
      </c>
      <c r="I119" s="3">
        <v>110.72</v>
      </c>
      <c r="J119" t="s">
        <v>36</v>
      </c>
      <c r="K119">
        <v>5</v>
      </c>
      <c r="L119" s="9">
        <f>Tablo1[[#This Row],[Toplam_Kar]]/Tablo1[[#This Row],[Toplam_Ciro]]</f>
        <v>0.18105999901882225</v>
      </c>
      <c r="M119" s="3">
        <f>Tablo1[[#This Row],[Birim_Fiyat]]-(Tablo1[[#This Row],[Toplam_Kar]]/Tablo1[[#This Row],[Urun_Adedi]])</f>
        <v>500.78999999999996</v>
      </c>
    </row>
    <row r="120" spans="1:13" x14ac:dyDescent="0.3">
      <c r="A120" t="s">
        <v>256</v>
      </c>
      <c r="B120" t="s">
        <v>257</v>
      </c>
      <c r="C120" t="s">
        <v>114</v>
      </c>
      <c r="D120" t="s">
        <v>28</v>
      </c>
      <c r="E120" t="s">
        <v>20</v>
      </c>
      <c r="F120">
        <v>8</v>
      </c>
      <c r="G120" s="3">
        <v>4468.6099999999997</v>
      </c>
      <c r="H120" s="3">
        <v>35748.879999999997</v>
      </c>
      <c r="I120" s="3">
        <v>5846.54</v>
      </c>
      <c r="J120" t="s">
        <v>36</v>
      </c>
      <c r="K120">
        <v>1</v>
      </c>
      <c r="L120" s="9">
        <f>Tablo1[[#This Row],[Toplam_Kar]]/Tablo1[[#This Row],[Toplam_Ciro]]</f>
        <v>0.1635447040578614</v>
      </c>
      <c r="M120" s="3">
        <f>Tablo1[[#This Row],[Birim_Fiyat]]-(Tablo1[[#This Row],[Toplam_Kar]]/Tablo1[[#This Row],[Urun_Adedi]])</f>
        <v>3737.7924999999996</v>
      </c>
    </row>
    <row r="121" spans="1:13" x14ac:dyDescent="0.3">
      <c r="A121" t="s">
        <v>258</v>
      </c>
      <c r="B121" t="s">
        <v>259</v>
      </c>
      <c r="C121" t="s">
        <v>19</v>
      </c>
      <c r="D121" t="s">
        <v>14</v>
      </c>
      <c r="E121" t="s">
        <v>29</v>
      </c>
      <c r="F121">
        <v>6</v>
      </c>
      <c r="G121" s="3">
        <v>2279.83</v>
      </c>
      <c r="H121" s="3">
        <v>13678.98</v>
      </c>
      <c r="I121" s="3">
        <v>2105.17</v>
      </c>
      <c r="J121" t="s">
        <v>36</v>
      </c>
      <c r="K121">
        <v>7</v>
      </c>
      <c r="L121" s="9">
        <f>Tablo1[[#This Row],[Toplam_Kar]]/Tablo1[[#This Row],[Toplam_Ciro]]</f>
        <v>0.15389817077004281</v>
      </c>
      <c r="M121" s="3">
        <f>Tablo1[[#This Row],[Birim_Fiyat]]-(Tablo1[[#This Row],[Toplam_Kar]]/Tablo1[[#This Row],[Urun_Adedi]])</f>
        <v>1928.9683333333332</v>
      </c>
    </row>
    <row r="122" spans="1:13" x14ac:dyDescent="0.3">
      <c r="A122" t="s">
        <v>260</v>
      </c>
      <c r="B122" t="s">
        <v>48</v>
      </c>
      <c r="C122" t="s">
        <v>114</v>
      </c>
      <c r="D122" t="s">
        <v>58</v>
      </c>
      <c r="E122" t="s">
        <v>35</v>
      </c>
      <c r="F122">
        <v>6</v>
      </c>
      <c r="G122" s="3">
        <v>546.78</v>
      </c>
      <c r="H122" s="3">
        <v>3280.68</v>
      </c>
      <c r="I122" s="3">
        <v>1353.5</v>
      </c>
      <c r="J122" t="s">
        <v>36</v>
      </c>
      <c r="K122">
        <v>6</v>
      </c>
      <c r="L122" s="9">
        <f>Tablo1[[#This Row],[Toplam_Kar]]/Tablo1[[#This Row],[Toplam_Ciro]]</f>
        <v>0.4125669068607728</v>
      </c>
      <c r="M122" s="3">
        <f>Tablo1[[#This Row],[Birim_Fiyat]]-(Tablo1[[#This Row],[Toplam_Kar]]/Tablo1[[#This Row],[Urun_Adedi]])</f>
        <v>321.1966666666666</v>
      </c>
    </row>
    <row r="123" spans="1:13" x14ac:dyDescent="0.3">
      <c r="A123" t="s">
        <v>261</v>
      </c>
      <c r="B123" t="s">
        <v>262</v>
      </c>
      <c r="C123" t="s">
        <v>61</v>
      </c>
      <c r="D123" t="s">
        <v>14</v>
      </c>
      <c r="E123" t="s">
        <v>29</v>
      </c>
      <c r="F123">
        <v>5</v>
      </c>
      <c r="G123" s="3">
        <v>2658.41</v>
      </c>
      <c r="H123" s="3">
        <v>13292.05</v>
      </c>
      <c r="I123" s="3">
        <v>2756.75</v>
      </c>
      <c r="J123" t="s">
        <v>16</v>
      </c>
      <c r="K123">
        <v>2</v>
      </c>
      <c r="L123" s="9">
        <f>Tablo1[[#This Row],[Toplam_Kar]]/Tablo1[[#This Row],[Toplam_Ciro]]</f>
        <v>0.20739840731866041</v>
      </c>
      <c r="M123" s="3">
        <f>Tablo1[[#This Row],[Birim_Fiyat]]-(Tablo1[[#This Row],[Toplam_Kar]]/Tablo1[[#This Row],[Urun_Adedi]])</f>
        <v>2107.06</v>
      </c>
    </row>
    <row r="124" spans="1:13" x14ac:dyDescent="0.3">
      <c r="A124" t="s">
        <v>263</v>
      </c>
      <c r="B124" t="s">
        <v>264</v>
      </c>
      <c r="C124" t="s">
        <v>44</v>
      </c>
      <c r="D124" t="s">
        <v>58</v>
      </c>
      <c r="E124" t="s">
        <v>15</v>
      </c>
      <c r="F124">
        <v>3</v>
      </c>
      <c r="G124" s="3">
        <v>3253.83</v>
      </c>
      <c r="H124" s="3">
        <v>9761.49</v>
      </c>
      <c r="I124" s="3">
        <v>3467.34</v>
      </c>
      <c r="J124" t="s">
        <v>16</v>
      </c>
      <c r="K124">
        <v>1</v>
      </c>
      <c r="L124" s="9">
        <f>Tablo1[[#This Row],[Toplam_Kar]]/Tablo1[[#This Row],[Toplam_Ciro]]</f>
        <v>0.35520601875328461</v>
      </c>
      <c r="M124" s="3">
        <f>Tablo1[[#This Row],[Birim_Fiyat]]-(Tablo1[[#This Row],[Toplam_Kar]]/Tablo1[[#This Row],[Urun_Adedi]])</f>
        <v>2098.0500000000002</v>
      </c>
    </row>
    <row r="125" spans="1:13" x14ac:dyDescent="0.3">
      <c r="A125" t="s">
        <v>265</v>
      </c>
      <c r="B125" t="s">
        <v>223</v>
      </c>
      <c r="C125" t="s">
        <v>70</v>
      </c>
      <c r="D125" t="s">
        <v>40</v>
      </c>
      <c r="E125" t="s">
        <v>29</v>
      </c>
      <c r="F125">
        <v>1</v>
      </c>
      <c r="G125" s="3">
        <v>628.84</v>
      </c>
      <c r="H125" s="3">
        <v>628.84</v>
      </c>
      <c r="I125" s="3">
        <v>118.03</v>
      </c>
      <c r="J125" t="s">
        <v>16</v>
      </c>
      <c r="K125">
        <v>6</v>
      </c>
      <c r="L125" s="9">
        <f>Tablo1[[#This Row],[Toplam_Kar]]/Tablo1[[#This Row],[Toplam_Ciro]]</f>
        <v>0.1876948031295719</v>
      </c>
      <c r="M125" s="3">
        <f>Tablo1[[#This Row],[Birim_Fiyat]]-(Tablo1[[#This Row],[Toplam_Kar]]/Tablo1[[#This Row],[Urun_Adedi]])</f>
        <v>510.81000000000006</v>
      </c>
    </row>
    <row r="126" spans="1:13" x14ac:dyDescent="0.3">
      <c r="A126" t="s">
        <v>266</v>
      </c>
      <c r="B126" t="s">
        <v>267</v>
      </c>
      <c r="C126" t="s">
        <v>19</v>
      </c>
      <c r="D126" t="s">
        <v>23</v>
      </c>
      <c r="E126" t="s">
        <v>29</v>
      </c>
      <c r="F126">
        <v>1</v>
      </c>
      <c r="G126" s="3">
        <v>3124.59</v>
      </c>
      <c r="H126" s="3">
        <v>3124.59</v>
      </c>
      <c r="I126" s="3">
        <v>1170.73</v>
      </c>
      <c r="J126" t="s">
        <v>24</v>
      </c>
      <c r="K126">
        <v>5</v>
      </c>
      <c r="L126" s="9">
        <f>Tablo1[[#This Row],[Toplam_Kar]]/Tablo1[[#This Row],[Toplam_Ciro]]</f>
        <v>0.37468275837789916</v>
      </c>
      <c r="M126" s="3">
        <f>Tablo1[[#This Row],[Birim_Fiyat]]-(Tablo1[[#This Row],[Toplam_Kar]]/Tablo1[[#This Row],[Urun_Adedi]])</f>
        <v>1953.8600000000001</v>
      </c>
    </row>
    <row r="127" spans="1:13" x14ac:dyDescent="0.3">
      <c r="A127" t="s">
        <v>268</v>
      </c>
      <c r="B127" t="s">
        <v>153</v>
      </c>
      <c r="C127" t="s">
        <v>13</v>
      </c>
      <c r="D127" t="s">
        <v>14</v>
      </c>
      <c r="E127" t="s">
        <v>15</v>
      </c>
      <c r="F127">
        <v>7</v>
      </c>
      <c r="G127" s="3">
        <v>3375.99</v>
      </c>
      <c r="H127" s="3">
        <v>23631.93</v>
      </c>
      <c r="I127" s="3">
        <v>7275.44</v>
      </c>
      <c r="J127" t="s">
        <v>36</v>
      </c>
      <c r="K127">
        <v>5</v>
      </c>
      <c r="L127" s="9">
        <f>Tablo1[[#This Row],[Toplam_Kar]]/Tablo1[[#This Row],[Toplam_Ciro]]</f>
        <v>0.30786482525972275</v>
      </c>
      <c r="M127" s="3">
        <f>Tablo1[[#This Row],[Birim_Fiyat]]-(Tablo1[[#This Row],[Toplam_Kar]]/Tablo1[[#This Row],[Urun_Adedi]])</f>
        <v>2336.6414285714282</v>
      </c>
    </row>
    <row r="128" spans="1:13" x14ac:dyDescent="0.3">
      <c r="A128" t="s">
        <v>269</v>
      </c>
      <c r="B128" t="s">
        <v>270</v>
      </c>
      <c r="C128" t="s">
        <v>32</v>
      </c>
      <c r="D128" t="s">
        <v>28</v>
      </c>
      <c r="E128" t="s">
        <v>20</v>
      </c>
      <c r="F128">
        <v>2</v>
      </c>
      <c r="G128" s="3">
        <v>3279.03</v>
      </c>
      <c r="H128" s="3">
        <v>6558.06</v>
      </c>
      <c r="I128" s="4">
        <v>4850.2299999999996</v>
      </c>
      <c r="J128" t="s">
        <v>36</v>
      </c>
      <c r="K128">
        <v>6</v>
      </c>
      <c r="L128" s="9">
        <f>Tablo1[[#This Row],[Toplam_Kar]]/Tablo1[[#This Row],[Toplam_Ciro]]</f>
        <v>0.73958304742561054</v>
      </c>
      <c r="M128" s="3">
        <f>Tablo1[[#This Row],[Birim_Fiyat]]-(Tablo1[[#This Row],[Toplam_Kar]]/Tablo1[[#This Row],[Urun_Adedi]])</f>
        <v>853.91500000000042</v>
      </c>
    </row>
    <row r="129" spans="1:13" x14ac:dyDescent="0.3">
      <c r="A129" t="s">
        <v>271</v>
      </c>
      <c r="B129" t="s">
        <v>272</v>
      </c>
      <c r="C129" t="s">
        <v>114</v>
      </c>
      <c r="D129" t="s">
        <v>14</v>
      </c>
      <c r="E129" t="s">
        <v>20</v>
      </c>
      <c r="F129">
        <v>3</v>
      </c>
      <c r="G129" s="3">
        <v>3724.99</v>
      </c>
      <c r="H129" s="3">
        <v>11174.97</v>
      </c>
      <c r="I129" s="3">
        <v>2168.61</v>
      </c>
      <c r="J129" t="s">
        <v>24</v>
      </c>
      <c r="K129">
        <v>7</v>
      </c>
      <c r="L129" s="9">
        <f>Tablo1[[#This Row],[Toplam_Kar]]/Tablo1[[#This Row],[Toplam_Ciro]]</f>
        <v>0.19405958136800369</v>
      </c>
      <c r="M129" s="3">
        <f>Tablo1[[#This Row],[Birim_Fiyat]]-(Tablo1[[#This Row],[Toplam_Kar]]/Tablo1[[#This Row],[Urun_Adedi]])</f>
        <v>3002.12</v>
      </c>
    </row>
    <row r="130" spans="1:13" x14ac:dyDescent="0.3">
      <c r="A130" t="s">
        <v>273</v>
      </c>
      <c r="B130" t="s">
        <v>233</v>
      </c>
      <c r="C130" t="s">
        <v>44</v>
      </c>
      <c r="D130" t="s">
        <v>58</v>
      </c>
      <c r="E130" t="s">
        <v>35</v>
      </c>
      <c r="F130">
        <v>3</v>
      </c>
      <c r="G130" s="3">
        <v>4342.88</v>
      </c>
      <c r="H130" s="3">
        <v>13028.64</v>
      </c>
      <c r="I130" s="3">
        <v>5013.1400000000003</v>
      </c>
      <c r="J130" t="s">
        <v>16</v>
      </c>
      <c r="K130">
        <v>3</v>
      </c>
      <c r="L130" s="9">
        <f>Tablo1[[#This Row],[Toplam_Kar]]/Tablo1[[#This Row],[Toplam_Ciro]]</f>
        <v>0.38477845730636512</v>
      </c>
      <c r="M130" s="3">
        <f>Tablo1[[#This Row],[Birim_Fiyat]]-(Tablo1[[#This Row],[Toplam_Kar]]/Tablo1[[#This Row],[Urun_Adedi]])</f>
        <v>2671.833333333333</v>
      </c>
    </row>
    <row r="131" spans="1:13" x14ac:dyDescent="0.3">
      <c r="A131" t="s">
        <v>274</v>
      </c>
      <c r="B131" t="s">
        <v>187</v>
      </c>
      <c r="C131" t="s">
        <v>27</v>
      </c>
      <c r="D131" t="s">
        <v>14</v>
      </c>
      <c r="E131" t="s">
        <v>15</v>
      </c>
      <c r="F131">
        <v>7</v>
      </c>
      <c r="G131" s="3">
        <v>846.15</v>
      </c>
      <c r="H131" s="3">
        <v>5923.05</v>
      </c>
      <c r="I131" s="3">
        <v>2133.1</v>
      </c>
      <c r="J131" t="s">
        <v>16</v>
      </c>
      <c r="K131">
        <v>2</v>
      </c>
      <c r="L131" s="9">
        <f>Tablo1[[#This Row],[Toplam_Kar]]/Tablo1[[#This Row],[Toplam_Ciro]]</f>
        <v>0.36013540321287174</v>
      </c>
      <c r="M131" s="3">
        <f>Tablo1[[#This Row],[Birim_Fiyat]]-(Tablo1[[#This Row],[Toplam_Kar]]/Tablo1[[#This Row],[Urun_Adedi]])</f>
        <v>541.42142857142858</v>
      </c>
    </row>
    <row r="132" spans="1:13" x14ac:dyDescent="0.3">
      <c r="A132" t="s">
        <v>275</v>
      </c>
      <c r="B132" t="s">
        <v>276</v>
      </c>
      <c r="C132" t="s">
        <v>61</v>
      </c>
      <c r="D132" t="s">
        <v>40</v>
      </c>
      <c r="E132" t="s">
        <v>35</v>
      </c>
      <c r="F132">
        <v>3</v>
      </c>
      <c r="G132" s="3">
        <v>3897.05</v>
      </c>
      <c r="H132" s="3">
        <v>11691.15</v>
      </c>
      <c r="I132" s="3">
        <v>1794.63</v>
      </c>
      <c r="J132" t="s">
        <v>24</v>
      </c>
      <c r="K132">
        <v>2</v>
      </c>
      <c r="L132" s="9">
        <f>Tablo1[[#This Row],[Toplam_Kar]]/Tablo1[[#This Row],[Toplam_Ciro]]</f>
        <v>0.15350329095084744</v>
      </c>
      <c r="M132" s="3">
        <f>Tablo1[[#This Row],[Birim_Fiyat]]-(Tablo1[[#This Row],[Toplam_Kar]]/Tablo1[[#This Row],[Urun_Adedi]])</f>
        <v>3298.84</v>
      </c>
    </row>
    <row r="133" spans="1:13" x14ac:dyDescent="0.3">
      <c r="A133" t="s">
        <v>277</v>
      </c>
      <c r="B133" t="s">
        <v>217</v>
      </c>
      <c r="C133" t="s">
        <v>53</v>
      </c>
      <c r="D133" t="s">
        <v>28</v>
      </c>
      <c r="E133" t="s">
        <v>29</v>
      </c>
      <c r="F133">
        <v>4</v>
      </c>
      <c r="G133" s="3">
        <v>2685.16</v>
      </c>
      <c r="H133" s="3">
        <v>10740.64</v>
      </c>
      <c r="I133" s="4">
        <v>1785.2</v>
      </c>
      <c r="J133" t="s">
        <v>24</v>
      </c>
      <c r="K133">
        <v>3</v>
      </c>
      <c r="L133" s="9">
        <f>Tablo1[[#This Row],[Toplam_Kar]]/Tablo1[[#This Row],[Toplam_Ciro]]</f>
        <v>0.1662098347956919</v>
      </c>
      <c r="M133" s="3">
        <f>Tablo1[[#This Row],[Birim_Fiyat]]-(Tablo1[[#This Row],[Toplam_Kar]]/Tablo1[[#This Row],[Urun_Adedi]])</f>
        <v>2238.8599999999997</v>
      </c>
    </row>
    <row r="134" spans="1:13" x14ac:dyDescent="0.3">
      <c r="A134" t="s">
        <v>278</v>
      </c>
      <c r="B134" t="s">
        <v>279</v>
      </c>
      <c r="C134" t="s">
        <v>61</v>
      </c>
      <c r="D134" t="s">
        <v>14</v>
      </c>
      <c r="E134" t="s">
        <v>29</v>
      </c>
      <c r="F134">
        <v>3</v>
      </c>
      <c r="G134" s="3">
        <v>2277.08</v>
      </c>
      <c r="H134" s="3">
        <v>6831.24</v>
      </c>
      <c r="I134" s="3">
        <v>2010.31</v>
      </c>
      <c r="J134" t="s">
        <v>24</v>
      </c>
      <c r="K134">
        <v>5</v>
      </c>
      <c r="L134" s="9">
        <f>Tablo1[[#This Row],[Toplam_Kar]]/Tablo1[[#This Row],[Toplam_Ciro]]</f>
        <v>0.29428185805212526</v>
      </c>
      <c r="M134" s="3">
        <f>Tablo1[[#This Row],[Birim_Fiyat]]-(Tablo1[[#This Row],[Toplam_Kar]]/Tablo1[[#This Row],[Urun_Adedi]])</f>
        <v>1606.9766666666665</v>
      </c>
    </row>
    <row r="135" spans="1:13" x14ac:dyDescent="0.3">
      <c r="A135" t="s">
        <v>280</v>
      </c>
      <c r="B135" t="s">
        <v>281</v>
      </c>
      <c r="C135" t="s">
        <v>44</v>
      </c>
      <c r="D135" t="s">
        <v>58</v>
      </c>
      <c r="E135" t="s">
        <v>29</v>
      </c>
      <c r="F135">
        <v>2</v>
      </c>
      <c r="G135" s="3">
        <v>2108.27</v>
      </c>
      <c r="H135" s="3">
        <v>4216.54</v>
      </c>
      <c r="I135" s="3">
        <v>964.75</v>
      </c>
      <c r="J135" t="s">
        <v>24</v>
      </c>
      <c r="K135">
        <v>6</v>
      </c>
      <c r="L135" s="9">
        <f>Tablo1[[#This Row],[Toplam_Kar]]/Tablo1[[#This Row],[Toplam_Ciro]]</f>
        <v>0.22880133948687786</v>
      </c>
      <c r="M135" s="3">
        <f>Tablo1[[#This Row],[Birim_Fiyat]]-(Tablo1[[#This Row],[Toplam_Kar]]/Tablo1[[#This Row],[Urun_Adedi]])</f>
        <v>1625.895</v>
      </c>
    </row>
    <row r="136" spans="1:13" x14ac:dyDescent="0.3">
      <c r="A136" t="s">
        <v>282</v>
      </c>
      <c r="B136" t="s">
        <v>283</v>
      </c>
      <c r="C136" t="s">
        <v>13</v>
      </c>
      <c r="D136" t="s">
        <v>58</v>
      </c>
      <c r="E136" t="s">
        <v>35</v>
      </c>
      <c r="F136">
        <v>5</v>
      </c>
      <c r="G136" s="3">
        <v>2878.67</v>
      </c>
      <c r="H136" s="3">
        <v>14393.35</v>
      </c>
      <c r="I136" s="3">
        <v>4585.51</v>
      </c>
      <c r="J136" t="s">
        <v>36</v>
      </c>
      <c r="K136">
        <v>3</v>
      </c>
      <c r="L136" s="9">
        <f>Tablo1[[#This Row],[Toplam_Kar]]/Tablo1[[#This Row],[Toplam_Ciro]]</f>
        <v>0.31858531891463765</v>
      </c>
      <c r="M136" s="3">
        <f>Tablo1[[#This Row],[Birim_Fiyat]]-(Tablo1[[#This Row],[Toplam_Kar]]/Tablo1[[#This Row],[Urun_Adedi]])</f>
        <v>1961.568</v>
      </c>
    </row>
    <row r="137" spans="1:13" x14ac:dyDescent="0.3">
      <c r="A137" t="s">
        <v>284</v>
      </c>
      <c r="B137" t="s">
        <v>149</v>
      </c>
      <c r="C137" t="s">
        <v>39</v>
      </c>
      <c r="D137" t="s">
        <v>40</v>
      </c>
      <c r="E137" t="s">
        <v>35</v>
      </c>
      <c r="F137">
        <v>1</v>
      </c>
      <c r="G137" s="3">
        <v>3842.14</v>
      </c>
      <c r="H137" s="3">
        <v>3842.14</v>
      </c>
      <c r="I137" s="3">
        <v>551.5</v>
      </c>
      <c r="J137" t="s">
        <v>24</v>
      </c>
      <c r="K137">
        <v>2</v>
      </c>
      <c r="L137" s="9">
        <f>Tablo1[[#This Row],[Toplam_Kar]]/Tablo1[[#This Row],[Toplam_Ciro]]</f>
        <v>0.14353979813333195</v>
      </c>
      <c r="M137" s="3">
        <f>Tablo1[[#This Row],[Birim_Fiyat]]-(Tablo1[[#This Row],[Toplam_Kar]]/Tablo1[[#This Row],[Urun_Adedi]])</f>
        <v>3290.64</v>
      </c>
    </row>
    <row r="138" spans="1:13" x14ac:dyDescent="0.3">
      <c r="A138" t="s">
        <v>285</v>
      </c>
      <c r="B138" t="s">
        <v>246</v>
      </c>
      <c r="C138" t="s">
        <v>19</v>
      </c>
      <c r="D138" t="s">
        <v>58</v>
      </c>
      <c r="E138" t="s">
        <v>15</v>
      </c>
      <c r="F138">
        <v>2</v>
      </c>
      <c r="G138" s="3">
        <v>1484.85</v>
      </c>
      <c r="H138" s="3">
        <v>2969.7</v>
      </c>
      <c r="I138" s="3">
        <v>802.81</v>
      </c>
      <c r="J138" t="s">
        <v>16</v>
      </c>
      <c r="K138">
        <v>1</v>
      </c>
      <c r="L138" s="9">
        <f>Tablo1[[#This Row],[Toplam_Kar]]/Tablo1[[#This Row],[Toplam_Ciro]]</f>
        <v>0.27033370374111865</v>
      </c>
      <c r="M138" s="3">
        <f>Tablo1[[#This Row],[Birim_Fiyat]]-(Tablo1[[#This Row],[Toplam_Kar]]/Tablo1[[#This Row],[Urun_Adedi]])</f>
        <v>1083.4449999999999</v>
      </c>
    </row>
    <row r="139" spans="1:13" x14ac:dyDescent="0.3">
      <c r="A139" t="s">
        <v>286</v>
      </c>
      <c r="B139" t="s">
        <v>67</v>
      </c>
      <c r="C139" t="s">
        <v>114</v>
      </c>
      <c r="D139" t="s">
        <v>23</v>
      </c>
      <c r="E139" t="s">
        <v>29</v>
      </c>
      <c r="F139">
        <v>3</v>
      </c>
      <c r="G139" s="3">
        <v>1184.0999999999999</v>
      </c>
      <c r="H139" s="3">
        <v>3552.3</v>
      </c>
      <c r="I139" s="3">
        <v>858.42</v>
      </c>
      <c r="J139" t="s">
        <v>36</v>
      </c>
      <c r="K139">
        <v>4</v>
      </c>
      <c r="L139" s="9">
        <f>Tablo1[[#This Row],[Toplam_Kar]]/Tablo1[[#This Row],[Toplam_Ciro]]</f>
        <v>0.24165188750950087</v>
      </c>
      <c r="M139" s="3">
        <f>Tablo1[[#This Row],[Birim_Fiyat]]-(Tablo1[[#This Row],[Toplam_Kar]]/Tablo1[[#This Row],[Urun_Adedi]])</f>
        <v>897.95999999999992</v>
      </c>
    </row>
    <row r="140" spans="1:13" x14ac:dyDescent="0.3">
      <c r="A140" t="s">
        <v>287</v>
      </c>
      <c r="B140" t="s">
        <v>238</v>
      </c>
      <c r="C140" t="s">
        <v>13</v>
      </c>
      <c r="D140" t="s">
        <v>28</v>
      </c>
      <c r="E140" t="s">
        <v>29</v>
      </c>
      <c r="F140">
        <v>2</v>
      </c>
      <c r="G140" s="3">
        <v>1197.1600000000001</v>
      </c>
      <c r="H140" s="3">
        <v>2394.3200000000002</v>
      </c>
      <c r="I140" s="3">
        <v>449.26</v>
      </c>
      <c r="J140" t="s">
        <v>16</v>
      </c>
      <c r="K140">
        <v>4</v>
      </c>
      <c r="L140" s="9">
        <f>Tablo1[[#This Row],[Toplam_Kar]]/Tablo1[[#This Row],[Toplam_Ciro]]</f>
        <v>0.1876357379130609</v>
      </c>
      <c r="M140" s="3">
        <f>Tablo1[[#This Row],[Birim_Fiyat]]-(Tablo1[[#This Row],[Toplam_Kar]]/Tablo1[[#This Row],[Urun_Adedi]])</f>
        <v>972.53000000000009</v>
      </c>
    </row>
    <row r="141" spans="1:13" x14ac:dyDescent="0.3">
      <c r="A141" t="s">
        <v>288</v>
      </c>
      <c r="B141" t="s">
        <v>187</v>
      </c>
      <c r="C141" t="s">
        <v>13</v>
      </c>
      <c r="D141" t="s">
        <v>58</v>
      </c>
      <c r="E141" t="s">
        <v>35</v>
      </c>
      <c r="F141">
        <v>7</v>
      </c>
      <c r="G141" s="3">
        <v>4804.1400000000003</v>
      </c>
      <c r="H141" s="3">
        <v>33628.980000000003</v>
      </c>
      <c r="I141" s="3">
        <v>6790.13</v>
      </c>
      <c r="J141" t="s">
        <v>24</v>
      </c>
      <c r="K141">
        <v>3</v>
      </c>
      <c r="L141" s="9">
        <f>Tablo1[[#This Row],[Toplam_Kar]]/Tablo1[[#This Row],[Toplam_Ciro]]</f>
        <v>0.20191305237328042</v>
      </c>
      <c r="M141" s="3">
        <f>Tablo1[[#This Row],[Birim_Fiyat]]-(Tablo1[[#This Row],[Toplam_Kar]]/Tablo1[[#This Row],[Urun_Adedi]])</f>
        <v>3834.1214285714286</v>
      </c>
    </row>
    <row r="142" spans="1:13" x14ac:dyDescent="0.3">
      <c r="A142" t="s">
        <v>289</v>
      </c>
      <c r="B142" t="s">
        <v>290</v>
      </c>
      <c r="C142" t="s">
        <v>39</v>
      </c>
      <c r="D142" t="s">
        <v>40</v>
      </c>
      <c r="E142" t="s">
        <v>35</v>
      </c>
      <c r="F142">
        <v>6</v>
      </c>
      <c r="G142" s="3">
        <v>4966.83</v>
      </c>
      <c r="H142" s="3">
        <v>29800.98</v>
      </c>
      <c r="I142" s="3">
        <v>11536.49</v>
      </c>
      <c r="J142" t="s">
        <v>24</v>
      </c>
      <c r="K142">
        <v>5</v>
      </c>
      <c r="L142" s="9">
        <f>Tablo1[[#This Row],[Toplam_Kar]]/Tablo1[[#This Row],[Toplam_Ciro]]</f>
        <v>0.38711780619295072</v>
      </c>
      <c r="M142" s="3">
        <f>Tablo1[[#This Row],[Birim_Fiyat]]-(Tablo1[[#This Row],[Toplam_Kar]]/Tablo1[[#This Row],[Urun_Adedi]])</f>
        <v>3044.0816666666669</v>
      </c>
    </row>
    <row r="143" spans="1:13" x14ac:dyDescent="0.3">
      <c r="A143" t="s">
        <v>291</v>
      </c>
      <c r="B143" t="s">
        <v>292</v>
      </c>
      <c r="C143" t="s">
        <v>19</v>
      </c>
      <c r="D143" t="s">
        <v>23</v>
      </c>
      <c r="E143" t="s">
        <v>15</v>
      </c>
      <c r="F143">
        <v>1</v>
      </c>
      <c r="G143" s="3">
        <v>1845.23</v>
      </c>
      <c r="H143" s="3">
        <v>1845.23</v>
      </c>
      <c r="I143" s="3">
        <v>659.83</v>
      </c>
      <c r="J143" t="s">
        <v>16</v>
      </c>
      <c r="K143">
        <v>3</v>
      </c>
      <c r="L143" s="9">
        <f>Tablo1[[#This Row],[Toplam_Kar]]/Tablo1[[#This Row],[Toplam_Ciro]]</f>
        <v>0.35758685909073668</v>
      </c>
      <c r="M143" s="3">
        <f>Tablo1[[#This Row],[Birim_Fiyat]]-(Tablo1[[#This Row],[Toplam_Kar]]/Tablo1[[#This Row],[Urun_Adedi]])</f>
        <v>1185.4000000000001</v>
      </c>
    </row>
    <row r="144" spans="1:13" x14ac:dyDescent="0.3">
      <c r="A144" t="s">
        <v>293</v>
      </c>
      <c r="B144" t="s">
        <v>267</v>
      </c>
      <c r="C144" t="s">
        <v>70</v>
      </c>
      <c r="D144" t="s">
        <v>40</v>
      </c>
      <c r="E144" t="s">
        <v>15</v>
      </c>
      <c r="F144">
        <v>4</v>
      </c>
      <c r="G144" s="3">
        <v>4812.09</v>
      </c>
      <c r="H144" s="3">
        <v>19248.36</v>
      </c>
      <c r="I144" s="3">
        <v>7189.06</v>
      </c>
      <c r="J144" t="s">
        <v>24</v>
      </c>
      <c r="K144">
        <v>4</v>
      </c>
      <c r="L144" s="9">
        <f>Tablo1[[#This Row],[Toplam_Kar]]/Tablo1[[#This Row],[Toplam_Ciro]]</f>
        <v>0.3734894817012982</v>
      </c>
      <c r="M144" s="3">
        <f>Tablo1[[#This Row],[Birim_Fiyat]]-(Tablo1[[#This Row],[Toplam_Kar]]/Tablo1[[#This Row],[Urun_Adedi]])</f>
        <v>3014.8249999999998</v>
      </c>
    </row>
    <row r="145" spans="1:13" x14ac:dyDescent="0.3">
      <c r="A145" t="s">
        <v>294</v>
      </c>
      <c r="B145" t="s">
        <v>295</v>
      </c>
      <c r="C145" t="s">
        <v>39</v>
      </c>
      <c r="D145" t="s">
        <v>14</v>
      </c>
      <c r="E145" t="s">
        <v>20</v>
      </c>
      <c r="F145">
        <v>7</v>
      </c>
      <c r="G145" s="3">
        <v>4460.05</v>
      </c>
      <c r="H145" s="3">
        <v>31220.35</v>
      </c>
      <c r="I145" s="3">
        <v>8277.57</v>
      </c>
      <c r="J145" t="s">
        <v>36</v>
      </c>
      <c r="K145">
        <v>6</v>
      </c>
      <c r="L145" s="9">
        <f>Tablo1[[#This Row],[Toplam_Kar]]/Tablo1[[#This Row],[Toplam_Ciro]]</f>
        <v>0.2651337989484423</v>
      </c>
      <c r="M145" s="3">
        <f>Tablo1[[#This Row],[Birim_Fiyat]]-(Tablo1[[#This Row],[Toplam_Kar]]/Tablo1[[#This Row],[Urun_Adedi]])</f>
        <v>3277.54</v>
      </c>
    </row>
    <row r="146" spans="1:13" x14ac:dyDescent="0.3">
      <c r="A146" t="s">
        <v>296</v>
      </c>
      <c r="B146" t="s">
        <v>297</v>
      </c>
      <c r="C146" t="s">
        <v>13</v>
      </c>
      <c r="D146" t="s">
        <v>23</v>
      </c>
      <c r="E146" t="s">
        <v>15</v>
      </c>
      <c r="F146">
        <v>1</v>
      </c>
      <c r="G146" s="3">
        <v>1238.32</v>
      </c>
      <c r="H146" s="3">
        <v>1238.32</v>
      </c>
      <c r="I146" s="3">
        <v>204.73</v>
      </c>
      <c r="J146" t="s">
        <v>36</v>
      </c>
      <c r="K146">
        <v>4</v>
      </c>
      <c r="L146" s="9">
        <f>Tablo1[[#This Row],[Toplam_Kar]]/Tablo1[[#This Row],[Toplam_Ciro]]</f>
        <v>0.16532883261192582</v>
      </c>
      <c r="M146" s="3">
        <f>Tablo1[[#This Row],[Birim_Fiyat]]-(Tablo1[[#This Row],[Toplam_Kar]]/Tablo1[[#This Row],[Urun_Adedi]])</f>
        <v>1033.5899999999999</v>
      </c>
    </row>
    <row r="147" spans="1:13" x14ac:dyDescent="0.3">
      <c r="A147" t="s">
        <v>298</v>
      </c>
      <c r="B147" t="s">
        <v>299</v>
      </c>
      <c r="C147" t="s">
        <v>61</v>
      </c>
      <c r="D147" t="s">
        <v>28</v>
      </c>
      <c r="E147" t="s">
        <v>15</v>
      </c>
      <c r="F147">
        <v>4</v>
      </c>
      <c r="G147" s="3">
        <v>4922.5600000000004</v>
      </c>
      <c r="H147" s="3">
        <v>19690.240000000002</v>
      </c>
      <c r="I147" s="3">
        <v>4106.83</v>
      </c>
      <c r="J147" t="s">
        <v>36</v>
      </c>
      <c r="K147">
        <v>1</v>
      </c>
      <c r="L147" s="9">
        <f>Tablo1[[#This Row],[Toplam_Kar]]/Tablo1[[#This Row],[Toplam_Ciro]]</f>
        <v>0.20857186098290317</v>
      </c>
      <c r="M147" s="3">
        <f>Tablo1[[#This Row],[Birim_Fiyat]]-(Tablo1[[#This Row],[Toplam_Kar]]/Tablo1[[#This Row],[Urun_Adedi]])</f>
        <v>3895.8525000000004</v>
      </c>
    </row>
    <row r="148" spans="1:13" x14ac:dyDescent="0.3">
      <c r="A148" t="s">
        <v>300</v>
      </c>
      <c r="B148" t="s">
        <v>100</v>
      </c>
      <c r="C148" t="s">
        <v>27</v>
      </c>
      <c r="D148" t="s">
        <v>58</v>
      </c>
      <c r="E148" t="s">
        <v>20</v>
      </c>
      <c r="F148">
        <v>7</v>
      </c>
      <c r="G148" s="3">
        <v>1890.83</v>
      </c>
      <c r="H148" s="3">
        <v>13235.81</v>
      </c>
      <c r="I148" s="3">
        <v>2779.56</v>
      </c>
      <c r="J148" t="s">
        <v>16</v>
      </c>
      <c r="K148">
        <v>1</v>
      </c>
      <c r="L148" s="9">
        <f>Tablo1[[#This Row],[Toplam_Kar]]/Tablo1[[#This Row],[Toplam_Ciro]]</f>
        <v>0.21000301454916626</v>
      </c>
      <c r="M148" s="3">
        <f>Tablo1[[#This Row],[Birim_Fiyat]]-(Tablo1[[#This Row],[Toplam_Kar]]/Tablo1[[#This Row],[Urun_Adedi]])</f>
        <v>1493.75</v>
      </c>
    </row>
    <row r="149" spans="1:13" x14ac:dyDescent="0.3">
      <c r="A149" t="s">
        <v>301</v>
      </c>
      <c r="B149" t="s">
        <v>302</v>
      </c>
      <c r="C149" t="s">
        <v>32</v>
      </c>
      <c r="D149" t="s">
        <v>58</v>
      </c>
      <c r="E149" t="s">
        <v>29</v>
      </c>
      <c r="F149">
        <v>5</v>
      </c>
      <c r="G149" s="3">
        <v>3961.92</v>
      </c>
      <c r="H149" s="3">
        <v>19809.599999999999</v>
      </c>
      <c r="I149" s="3">
        <v>8849.69</v>
      </c>
      <c r="J149" t="s">
        <v>24</v>
      </c>
      <c r="K149">
        <v>3</v>
      </c>
      <c r="L149" s="9">
        <f>Tablo1[[#This Row],[Toplam_Kar]]/Tablo1[[#This Row],[Toplam_Ciro]]</f>
        <v>0.44673744043292146</v>
      </c>
      <c r="M149" s="3">
        <f>Tablo1[[#This Row],[Birim_Fiyat]]-(Tablo1[[#This Row],[Toplam_Kar]]/Tablo1[[#This Row],[Urun_Adedi]])</f>
        <v>2191.982</v>
      </c>
    </row>
    <row r="150" spans="1:13" x14ac:dyDescent="0.3">
      <c r="A150" t="s">
        <v>303</v>
      </c>
      <c r="B150" t="s">
        <v>82</v>
      </c>
      <c r="C150" t="s">
        <v>19</v>
      </c>
      <c r="D150" t="s">
        <v>58</v>
      </c>
      <c r="E150" t="s">
        <v>35</v>
      </c>
      <c r="F150">
        <v>1</v>
      </c>
      <c r="G150" s="3">
        <v>1471.09</v>
      </c>
      <c r="H150" s="3">
        <v>1471.09</v>
      </c>
      <c r="I150" s="3">
        <v>616.66999999999996</v>
      </c>
      <c r="J150" t="s">
        <v>16</v>
      </c>
      <c r="K150">
        <v>6</v>
      </c>
      <c r="L150" s="9">
        <f>Tablo1[[#This Row],[Toplam_Kar]]/Tablo1[[#This Row],[Toplam_Ciro]]</f>
        <v>0.41919257149460604</v>
      </c>
      <c r="M150" s="3">
        <f>Tablo1[[#This Row],[Birim_Fiyat]]-(Tablo1[[#This Row],[Toplam_Kar]]/Tablo1[[#This Row],[Urun_Adedi]])</f>
        <v>854.42</v>
      </c>
    </row>
    <row r="151" spans="1:13" x14ac:dyDescent="0.3">
      <c r="A151" t="s">
        <v>304</v>
      </c>
      <c r="B151" t="s">
        <v>50</v>
      </c>
      <c r="C151" t="s">
        <v>13</v>
      </c>
      <c r="D151" t="s">
        <v>58</v>
      </c>
      <c r="E151" t="s">
        <v>29</v>
      </c>
      <c r="F151">
        <v>8</v>
      </c>
      <c r="G151" s="3">
        <v>474.38</v>
      </c>
      <c r="H151" s="3">
        <v>3795.04</v>
      </c>
      <c r="I151" s="3">
        <v>1428.37</v>
      </c>
      <c r="J151" t="s">
        <v>24</v>
      </c>
      <c r="K151">
        <v>1</v>
      </c>
      <c r="L151" s="9">
        <f>Tablo1[[#This Row],[Toplam_Kar]]/Tablo1[[#This Row],[Toplam_Ciro]]</f>
        <v>0.37637811459167753</v>
      </c>
      <c r="M151" s="3">
        <f>Tablo1[[#This Row],[Birim_Fiyat]]-(Tablo1[[#This Row],[Toplam_Kar]]/Tablo1[[#This Row],[Urun_Adedi]])</f>
        <v>295.83375000000001</v>
      </c>
    </row>
    <row r="152" spans="1:13" x14ac:dyDescent="0.3">
      <c r="A152" t="s">
        <v>305</v>
      </c>
      <c r="B152" t="s">
        <v>246</v>
      </c>
      <c r="C152" t="s">
        <v>61</v>
      </c>
      <c r="D152" t="s">
        <v>40</v>
      </c>
      <c r="E152" t="s">
        <v>29</v>
      </c>
      <c r="F152">
        <v>6</v>
      </c>
      <c r="G152" s="3">
        <v>4164.37</v>
      </c>
      <c r="H152" s="3">
        <v>24986.22</v>
      </c>
      <c r="I152" s="3">
        <v>5705.81</v>
      </c>
      <c r="J152" t="s">
        <v>24</v>
      </c>
      <c r="K152">
        <v>5</v>
      </c>
      <c r="L152" s="9">
        <f>Tablo1[[#This Row],[Toplam_Kar]]/Tablo1[[#This Row],[Toplam_Ciro]]</f>
        <v>0.22835827107901877</v>
      </c>
      <c r="M152" s="3">
        <f>Tablo1[[#This Row],[Birim_Fiyat]]-(Tablo1[[#This Row],[Toplam_Kar]]/Tablo1[[#This Row],[Urun_Adedi]])</f>
        <v>3213.4016666666666</v>
      </c>
    </row>
    <row r="153" spans="1:13" x14ac:dyDescent="0.3">
      <c r="A153" t="s">
        <v>306</v>
      </c>
      <c r="B153" t="s">
        <v>307</v>
      </c>
      <c r="C153" s="5"/>
      <c r="D153" t="s">
        <v>28</v>
      </c>
      <c r="E153" t="s">
        <v>15</v>
      </c>
      <c r="F153">
        <v>8</v>
      </c>
      <c r="G153" s="3">
        <v>4138.5200000000004</v>
      </c>
      <c r="H153" s="3">
        <v>33108.160000000003</v>
      </c>
      <c r="I153" s="3">
        <v>11566.3</v>
      </c>
      <c r="J153" t="s">
        <v>16</v>
      </c>
      <c r="K153">
        <v>1</v>
      </c>
      <c r="L153" s="9">
        <f>Tablo1[[#This Row],[Toplam_Kar]]/Tablo1[[#This Row],[Toplam_Ciro]]</f>
        <v>0.34934892183679184</v>
      </c>
      <c r="M153" s="3">
        <f>Tablo1[[#This Row],[Birim_Fiyat]]-(Tablo1[[#This Row],[Toplam_Kar]]/Tablo1[[#This Row],[Urun_Adedi]])</f>
        <v>2692.7325000000005</v>
      </c>
    </row>
    <row r="154" spans="1:13" x14ac:dyDescent="0.3">
      <c r="A154" t="s">
        <v>308</v>
      </c>
      <c r="B154" t="s">
        <v>309</v>
      </c>
      <c r="C154" t="s">
        <v>53</v>
      </c>
      <c r="D154" t="s">
        <v>58</v>
      </c>
      <c r="E154" t="s">
        <v>20</v>
      </c>
      <c r="F154">
        <v>6</v>
      </c>
      <c r="G154" s="3">
        <v>241.59</v>
      </c>
      <c r="H154" s="3">
        <v>1449.54</v>
      </c>
      <c r="I154" s="3">
        <v>572.20000000000005</v>
      </c>
      <c r="J154" t="s">
        <v>36</v>
      </c>
      <c r="K154">
        <v>6</v>
      </c>
      <c r="L154" s="9">
        <f>Tablo1[[#This Row],[Toplam_Kar]]/Tablo1[[#This Row],[Toplam_Ciro]]</f>
        <v>0.39474591939511849</v>
      </c>
      <c r="M154" s="3">
        <f>Tablo1[[#This Row],[Birim_Fiyat]]-(Tablo1[[#This Row],[Toplam_Kar]]/Tablo1[[#This Row],[Urun_Adedi]])</f>
        <v>146.22333333333333</v>
      </c>
    </row>
    <row r="155" spans="1:13" x14ac:dyDescent="0.3">
      <c r="A155" t="s">
        <v>310</v>
      </c>
      <c r="B155" t="s">
        <v>311</v>
      </c>
      <c r="C155" t="s">
        <v>114</v>
      </c>
      <c r="D155" t="s">
        <v>23</v>
      </c>
      <c r="E155" t="s">
        <v>29</v>
      </c>
      <c r="F155">
        <v>1</v>
      </c>
      <c r="G155" s="3">
        <v>2735.72</v>
      </c>
      <c r="H155" s="3">
        <v>2735.72</v>
      </c>
      <c r="I155" s="4">
        <v>601.20000000000005</v>
      </c>
      <c r="J155" t="s">
        <v>24</v>
      </c>
      <c r="K155">
        <v>6</v>
      </c>
      <c r="L155" s="9">
        <f>Tablo1[[#This Row],[Toplam_Kar]]/Tablo1[[#This Row],[Toplam_Ciro]]</f>
        <v>0.21975933209538992</v>
      </c>
      <c r="M155" s="3">
        <f>Tablo1[[#This Row],[Birim_Fiyat]]-(Tablo1[[#This Row],[Toplam_Kar]]/Tablo1[[#This Row],[Urun_Adedi]])</f>
        <v>2134.5199999999995</v>
      </c>
    </row>
    <row r="156" spans="1:13" x14ac:dyDescent="0.3">
      <c r="A156" t="s">
        <v>312</v>
      </c>
      <c r="B156" t="s">
        <v>313</v>
      </c>
      <c r="C156" t="s">
        <v>19</v>
      </c>
      <c r="D156" t="s">
        <v>14</v>
      </c>
      <c r="E156" t="s">
        <v>29</v>
      </c>
      <c r="F156">
        <v>8</v>
      </c>
      <c r="G156" s="3">
        <v>4660.34</v>
      </c>
      <c r="H156" s="3">
        <v>37282.720000000001</v>
      </c>
      <c r="I156" s="3">
        <v>12807.67</v>
      </c>
      <c r="J156" t="s">
        <v>16</v>
      </c>
      <c r="K156">
        <v>7</v>
      </c>
      <c r="L156" s="9">
        <f>Tablo1[[#This Row],[Toplam_Kar]]/Tablo1[[#This Row],[Toplam_Ciro]]</f>
        <v>0.34352831553062652</v>
      </c>
      <c r="M156" s="3">
        <f>Tablo1[[#This Row],[Birim_Fiyat]]-(Tablo1[[#This Row],[Toplam_Kar]]/Tablo1[[#This Row],[Urun_Adedi]])</f>
        <v>3059.3812500000004</v>
      </c>
    </row>
    <row r="157" spans="1:13" x14ac:dyDescent="0.3">
      <c r="A157" t="s">
        <v>314</v>
      </c>
      <c r="B157" t="s">
        <v>315</v>
      </c>
      <c r="C157" t="s">
        <v>61</v>
      </c>
      <c r="D157" t="s">
        <v>28</v>
      </c>
      <c r="E157" t="s">
        <v>20</v>
      </c>
      <c r="F157">
        <v>2</v>
      </c>
      <c r="G157" s="3">
        <v>1971.76</v>
      </c>
      <c r="H157" s="3">
        <v>3943.52</v>
      </c>
      <c r="I157" s="3">
        <v>650.09</v>
      </c>
      <c r="J157" t="s">
        <v>24</v>
      </c>
      <c r="K157">
        <v>1</v>
      </c>
      <c r="L157" s="9">
        <f>Tablo1[[#This Row],[Toplam_Kar]]/Tablo1[[#This Row],[Toplam_Ciro]]</f>
        <v>0.16485018460664586</v>
      </c>
      <c r="M157" s="3">
        <f>Tablo1[[#This Row],[Birim_Fiyat]]-(Tablo1[[#This Row],[Toplam_Kar]]/Tablo1[[#This Row],[Urun_Adedi]])</f>
        <v>1646.7149999999999</v>
      </c>
    </row>
    <row r="158" spans="1:13" x14ac:dyDescent="0.3">
      <c r="A158" t="s">
        <v>316</v>
      </c>
      <c r="B158" t="s">
        <v>317</v>
      </c>
      <c r="C158" t="s">
        <v>19</v>
      </c>
      <c r="D158" t="s">
        <v>14</v>
      </c>
      <c r="E158" t="s">
        <v>20</v>
      </c>
      <c r="F158">
        <v>4</v>
      </c>
      <c r="G158" s="3">
        <v>1331.99</v>
      </c>
      <c r="H158" s="3">
        <v>5327.96</v>
      </c>
      <c r="I158" s="3">
        <v>1064</v>
      </c>
      <c r="J158" t="s">
        <v>36</v>
      </c>
      <c r="K158">
        <v>2</v>
      </c>
      <c r="L158" s="9">
        <f>Tablo1[[#This Row],[Toplam_Kar]]/Tablo1[[#This Row],[Toplam_Ciro]]</f>
        <v>0.19970119895795013</v>
      </c>
      <c r="M158" s="3">
        <f>Tablo1[[#This Row],[Birim_Fiyat]]-(Tablo1[[#This Row],[Toplam_Kar]]/Tablo1[[#This Row],[Urun_Adedi]])</f>
        <v>1065.99</v>
      </c>
    </row>
    <row r="159" spans="1:13" x14ac:dyDescent="0.3">
      <c r="A159" t="s">
        <v>318</v>
      </c>
      <c r="B159" t="s">
        <v>319</v>
      </c>
      <c r="C159" t="s">
        <v>70</v>
      </c>
      <c r="D159" t="s">
        <v>28</v>
      </c>
      <c r="E159" t="s">
        <v>29</v>
      </c>
      <c r="F159">
        <v>6</v>
      </c>
      <c r="G159" s="3">
        <v>3888.44</v>
      </c>
      <c r="H159" s="3">
        <v>23330.639999999999</v>
      </c>
      <c r="I159" s="3">
        <v>8719.6</v>
      </c>
      <c r="J159" t="s">
        <v>24</v>
      </c>
      <c r="K159">
        <v>6</v>
      </c>
      <c r="L159" s="9">
        <f>Tablo1[[#This Row],[Toplam_Kar]]/Tablo1[[#This Row],[Toplam_Ciro]]</f>
        <v>0.37374028316411384</v>
      </c>
      <c r="M159" s="3">
        <f>Tablo1[[#This Row],[Birim_Fiyat]]-(Tablo1[[#This Row],[Toplam_Kar]]/Tablo1[[#This Row],[Urun_Adedi]])</f>
        <v>2435.1733333333332</v>
      </c>
    </row>
    <row r="160" spans="1:13" x14ac:dyDescent="0.3">
      <c r="A160" t="s">
        <v>320</v>
      </c>
      <c r="B160" t="s">
        <v>321</v>
      </c>
      <c r="C160" t="s">
        <v>53</v>
      </c>
      <c r="D160" t="s">
        <v>23</v>
      </c>
      <c r="E160" t="s">
        <v>15</v>
      </c>
      <c r="F160">
        <v>2</v>
      </c>
      <c r="G160" s="3">
        <v>3254.02</v>
      </c>
      <c r="H160" s="3">
        <v>6508.04</v>
      </c>
      <c r="I160" s="3">
        <v>1363.54</v>
      </c>
      <c r="J160" t="s">
        <v>36</v>
      </c>
      <c r="K160">
        <v>4</v>
      </c>
      <c r="L160" s="9">
        <f>Tablo1[[#This Row],[Toplam_Kar]]/Tablo1[[#This Row],[Toplam_Ciro]]</f>
        <v>0.20951622915655096</v>
      </c>
      <c r="M160" s="3">
        <f>Tablo1[[#This Row],[Birim_Fiyat]]-(Tablo1[[#This Row],[Toplam_Kar]]/Tablo1[[#This Row],[Urun_Adedi]])</f>
        <v>2572.25</v>
      </c>
    </row>
    <row r="161" spans="1:13" x14ac:dyDescent="0.3">
      <c r="A161" t="s">
        <v>322</v>
      </c>
      <c r="B161" t="s">
        <v>323</v>
      </c>
      <c r="C161" t="s">
        <v>32</v>
      </c>
      <c r="D161" t="s">
        <v>14</v>
      </c>
      <c r="E161" t="s">
        <v>35</v>
      </c>
      <c r="F161">
        <v>7</v>
      </c>
      <c r="G161" s="3">
        <v>3601.01</v>
      </c>
      <c r="H161" s="3">
        <v>25207.07</v>
      </c>
      <c r="I161" s="3">
        <v>6005.27</v>
      </c>
      <c r="J161" t="s">
        <v>36</v>
      </c>
      <c r="K161">
        <v>2</v>
      </c>
      <c r="L161" s="9">
        <f>Tablo1[[#This Row],[Toplam_Kar]]/Tablo1[[#This Row],[Toplam_Ciro]]</f>
        <v>0.23823752621784286</v>
      </c>
      <c r="M161" s="3">
        <f>Tablo1[[#This Row],[Birim_Fiyat]]-(Tablo1[[#This Row],[Toplam_Kar]]/Tablo1[[#This Row],[Urun_Adedi]])</f>
        <v>2743.1142857142859</v>
      </c>
    </row>
    <row r="162" spans="1:13" x14ac:dyDescent="0.3">
      <c r="A162" t="s">
        <v>324</v>
      </c>
      <c r="B162" t="s">
        <v>120</v>
      </c>
      <c r="C162" t="s">
        <v>70</v>
      </c>
      <c r="D162" t="s">
        <v>23</v>
      </c>
      <c r="E162" t="s">
        <v>29</v>
      </c>
      <c r="F162">
        <v>1</v>
      </c>
      <c r="G162" s="3">
        <v>544.51</v>
      </c>
      <c r="H162" s="3">
        <v>544.51</v>
      </c>
      <c r="I162" s="3">
        <v>226.72</v>
      </c>
      <c r="J162" t="s">
        <v>16</v>
      </c>
      <c r="K162">
        <v>2</v>
      </c>
      <c r="L162" s="9">
        <f>Tablo1[[#This Row],[Toplam_Kar]]/Tablo1[[#This Row],[Toplam_Ciro]]</f>
        <v>0.41637435492461111</v>
      </c>
      <c r="M162" s="3">
        <f>Tablo1[[#This Row],[Birim_Fiyat]]-(Tablo1[[#This Row],[Toplam_Kar]]/Tablo1[[#This Row],[Urun_Adedi]])</f>
        <v>317.78999999999996</v>
      </c>
    </row>
    <row r="163" spans="1:13" x14ac:dyDescent="0.3">
      <c r="A163" t="s">
        <v>325</v>
      </c>
      <c r="B163" t="s">
        <v>326</v>
      </c>
      <c r="C163" t="s">
        <v>53</v>
      </c>
      <c r="D163" t="s">
        <v>40</v>
      </c>
      <c r="E163" t="s">
        <v>20</v>
      </c>
      <c r="F163">
        <v>1</v>
      </c>
      <c r="G163" s="3">
        <v>2927.07</v>
      </c>
      <c r="H163" s="3">
        <v>2927.07</v>
      </c>
      <c r="I163" s="3">
        <v>1188.33</v>
      </c>
      <c r="J163" t="s">
        <v>36</v>
      </c>
      <c r="K163">
        <v>2</v>
      </c>
      <c r="L163" s="9">
        <f>Tablo1[[#This Row],[Toplam_Kar]]/Tablo1[[#This Row],[Toplam_Ciro]]</f>
        <v>0.40597935819778819</v>
      </c>
      <c r="M163" s="3">
        <f>Tablo1[[#This Row],[Birim_Fiyat]]-(Tablo1[[#This Row],[Toplam_Kar]]/Tablo1[[#This Row],[Urun_Adedi]])</f>
        <v>1738.7400000000002</v>
      </c>
    </row>
    <row r="164" spans="1:13" x14ac:dyDescent="0.3">
      <c r="A164" t="s">
        <v>327</v>
      </c>
      <c r="B164" t="s">
        <v>328</v>
      </c>
      <c r="C164" t="s">
        <v>53</v>
      </c>
      <c r="D164" t="s">
        <v>58</v>
      </c>
      <c r="E164" t="s">
        <v>29</v>
      </c>
      <c r="F164">
        <v>4</v>
      </c>
      <c r="G164" s="3">
        <v>247.35</v>
      </c>
      <c r="H164" s="3">
        <v>989.4</v>
      </c>
      <c r="I164" s="3">
        <v>157.26</v>
      </c>
      <c r="J164" t="s">
        <v>24</v>
      </c>
      <c r="K164">
        <v>2</v>
      </c>
      <c r="L164" s="9">
        <f>Tablo1[[#This Row],[Toplam_Kar]]/Tablo1[[#This Row],[Toplam_Ciro]]</f>
        <v>0.15894481503941782</v>
      </c>
      <c r="M164" s="3">
        <f>Tablo1[[#This Row],[Birim_Fiyat]]-(Tablo1[[#This Row],[Toplam_Kar]]/Tablo1[[#This Row],[Urun_Adedi]])</f>
        <v>208.035</v>
      </c>
    </row>
    <row r="165" spans="1:13" x14ac:dyDescent="0.3">
      <c r="A165" t="s">
        <v>329</v>
      </c>
      <c r="B165" t="s">
        <v>330</v>
      </c>
      <c r="C165" t="s">
        <v>19</v>
      </c>
      <c r="D165" t="s">
        <v>40</v>
      </c>
      <c r="E165" t="s">
        <v>15</v>
      </c>
      <c r="F165">
        <v>5</v>
      </c>
      <c r="G165" s="3">
        <v>910.88</v>
      </c>
      <c r="H165" s="3">
        <v>4554.3999999999996</v>
      </c>
      <c r="I165" s="3">
        <v>1136.1199999999999</v>
      </c>
      <c r="J165" t="s">
        <v>16</v>
      </c>
      <c r="K165">
        <v>3</v>
      </c>
      <c r="L165" s="9">
        <f>Tablo1[[#This Row],[Toplam_Kar]]/Tablo1[[#This Row],[Toplam_Ciro]]</f>
        <v>0.24945547163182855</v>
      </c>
      <c r="M165" s="3">
        <f>Tablo1[[#This Row],[Birim_Fiyat]]-(Tablo1[[#This Row],[Toplam_Kar]]/Tablo1[[#This Row],[Urun_Adedi]])</f>
        <v>683.65599999999995</v>
      </c>
    </row>
    <row r="166" spans="1:13" x14ac:dyDescent="0.3">
      <c r="A166" t="s">
        <v>331</v>
      </c>
      <c r="B166" t="s">
        <v>142</v>
      </c>
      <c r="C166" t="s">
        <v>27</v>
      </c>
      <c r="D166" t="s">
        <v>28</v>
      </c>
      <c r="E166" t="s">
        <v>29</v>
      </c>
      <c r="F166">
        <v>2</v>
      </c>
      <c r="G166" s="3">
        <v>3699.06</v>
      </c>
      <c r="H166" s="3">
        <v>7398.12</v>
      </c>
      <c r="I166" s="3">
        <v>977.4</v>
      </c>
      <c r="J166" t="s">
        <v>24</v>
      </c>
      <c r="K166">
        <v>6</v>
      </c>
      <c r="L166" s="9">
        <f>Tablo1[[#This Row],[Toplam_Kar]]/Tablo1[[#This Row],[Toplam_Ciro]]</f>
        <v>0.13211464534233022</v>
      </c>
      <c r="M166" s="3">
        <f>Tablo1[[#This Row],[Birim_Fiyat]]-(Tablo1[[#This Row],[Toplam_Kar]]/Tablo1[[#This Row],[Urun_Adedi]])</f>
        <v>3210.36</v>
      </c>
    </row>
    <row r="167" spans="1:13" x14ac:dyDescent="0.3">
      <c r="A167" t="s">
        <v>332</v>
      </c>
      <c r="B167" t="s">
        <v>333</v>
      </c>
      <c r="C167" t="s">
        <v>61</v>
      </c>
      <c r="D167" t="s">
        <v>14</v>
      </c>
      <c r="E167" t="s">
        <v>15</v>
      </c>
      <c r="F167">
        <v>1</v>
      </c>
      <c r="G167" s="3">
        <v>2704.26</v>
      </c>
      <c r="H167" s="3">
        <v>2704.26</v>
      </c>
      <c r="I167" s="3">
        <v>721.93</v>
      </c>
      <c r="J167" t="s">
        <v>24</v>
      </c>
      <c r="K167">
        <v>5</v>
      </c>
      <c r="L167" s="9">
        <f>Tablo1[[#This Row],[Toplam_Kar]]/Tablo1[[#This Row],[Toplam_Ciro]]</f>
        <v>0.2669602774881113</v>
      </c>
      <c r="M167" s="3">
        <f>Tablo1[[#This Row],[Birim_Fiyat]]-(Tablo1[[#This Row],[Toplam_Kar]]/Tablo1[[#This Row],[Urun_Adedi]])</f>
        <v>1982.3300000000004</v>
      </c>
    </row>
    <row r="168" spans="1:13" x14ac:dyDescent="0.3">
      <c r="A168" t="s">
        <v>334</v>
      </c>
      <c r="B168" t="s">
        <v>116</v>
      </c>
      <c r="C168" t="s">
        <v>70</v>
      </c>
      <c r="D168" t="s">
        <v>58</v>
      </c>
      <c r="E168" t="s">
        <v>29</v>
      </c>
      <c r="F168">
        <v>3</v>
      </c>
      <c r="G168" s="3">
        <v>470.5</v>
      </c>
      <c r="H168" s="3">
        <v>1411.5</v>
      </c>
      <c r="I168" s="3">
        <v>612.78</v>
      </c>
      <c r="J168" t="s">
        <v>24</v>
      </c>
      <c r="K168">
        <v>6</v>
      </c>
      <c r="L168" s="9">
        <f>Tablo1[[#This Row],[Toplam_Kar]]/Tablo1[[#This Row],[Toplam_Ciro]]</f>
        <v>0.4341339001062699</v>
      </c>
      <c r="M168" s="3">
        <f>Tablo1[[#This Row],[Birim_Fiyat]]-(Tablo1[[#This Row],[Toplam_Kar]]/Tablo1[[#This Row],[Urun_Adedi]])</f>
        <v>266.24</v>
      </c>
    </row>
    <row r="169" spans="1:13" x14ac:dyDescent="0.3">
      <c r="A169" t="s">
        <v>335</v>
      </c>
      <c r="B169" t="s">
        <v>336</v>
      </c>
      <c r="C169" t="s">
        <v>61</v>
      </c>
      <c r="D169" t="s">
        <v>58</v>
      </c>
      <c r="E169" t="s">
        <v>20</v>
      </c>
      <c r="F169">
        <v>6</v>
      </c>
      <c r="G169" s="3">
        <v>4711.4399999999996</v>
      </c>
      <c r="H169" s="3">
        <v>28268.639999999999</v>
      </c>
      <c r="I169" s="3">
        <v>9037.44</v>
      </c>
      <c r="J169" t="s">
        <v>24</v>
      </c>
      <c r="K169">
        <v>3</v>
      </c>
      <c r="L169" s="9">
        <f>Tablo1[[#This Row],[Toplam_Kar]]/Tablo1[[#This Row],[Toplam_Ciro]]</f>
        <v>0.31969843614691051</v>
      </c>
      <c r="M169" s="3">
        <f>Tablo1[[#This Row],[Birim_Fiyat]]-(Tablo1[[#This Row],[Toplam_Kar]]/Tablo1[[#This Row],[Urun_Adedi]])</f>
        <v>3205.2</v>
      </c>
    </row>
    <row r="170" spans="1:13" x14ac:dyDescent="0.3">
      <c r="A170" t="s">
        <v>337</v>
      </c>
      <c r="B170" t="s">
        <v>111</v>
      </c>
      <c r="C170" t="s">
        <v>19</v>
      </c>
      <c r="D170" t="s">
        <v>40</v>
      </c>
      <c r="E170" t="s">
        <v>35</v>
      </c>
      <c r="F170">
        <v>5</v>
      </c>
      <c r="G170" s="3">
        <v>1352.47</v>
      </c>
      <c r="H170" s="3">
        <v>6762.35</v>
      </c>
      <c r="I170" s="3">
        <v>2298</v>
      </c>
      <c r="J170" t="s">
        <v>16</v>
      </c>
      <c r="K170">
        <v>5</v>
      </c>
      <c r="L170" s="9">
        <f>Tablo1[[#This Row],[Toplam_Kar]]/Tablo1[[#This Row],[Toplam_Ciro]]</f>
        <v>0.33982269477326665</v>
      </c>
      <c r="M170" s="3">
        <f>Tablo1[[#This Row],[Birim_Fiyat]]-(Tablo1[[#This Row],[Toplam_Kar]]/Tablo1[[#This Row],[Urun_Adedi]])</f>
        <v>892.87</v>
      </c>
    </row>
    <row r="171" spans="1:13" x14ac:dyDescent="0.3">
      <c r="A171" t="s">
        <v>338</v>
      </c>
      <c r="B171" t="s">
        <v>339</v>
      </c>
      <c r="C171" t="s">
        <v>13</v>
      </c>
      <c r="D171" t="s">
        <v>14</v>
      </c>
      <c r="E171" t="s">
        <v>35</v>
      </c>
      <c r="F171">
        <v>1</v>
      </c>
      <c r="G171" s="3">
        <v>4640.72</v>
      </c>
      <c r="H171" s="3">
        <v>4640.72</v>
      </c>
      <c r="I171" s="3">
        <v>984.57</v>
      </c>
      <c r="J171" t="s">
        <v>24</v>
      </c>
      <c r="K171">
        <v>2</v>
      </c>
      <c r="L171" s="9">
        <f>Tablo1[[#This Row],[Toplam_Kar]]/Tablo1[[#This Row],[Toplam_Ciro]]</f>
        <v>0.21215888913789238</v>
      </c>
      <c r="M171" s="3">
        <f>Tablo1[[#This Row],[Birim_Fiyat]]-(Tablo1[[#This Row],[Toplam_Kar]]/Tablo1[[#This Row],[Urun_Adedi]])</f>
        <v>3656.15</v>
      </c>
    </row>
    <row r="172" spans="1:13" x14ac:dyDescent="0.3">
      <c r="A172" t="s">
        <v>340</v>
      </c>
      <c r="B172" t="s">
        <v>341</v>
      </c>
      <c r="C172" t="s">
        <v>114</v>
      </c>
      <c r="D172" t="s">
        <v>58</v>
      </c>
      <c r="E172" t="s">
        <v>15</v>
      </c>
      <c r="F172">
        <v>2</v>
      </c>
      <c r="G172" s="3">
        <v>1384.43</v>
      </c>
      <c r="H172" s="3">
        <v>2768.86</v>
      </c>
      <c r="I172" s="3">
        <v>959.41</v>
      </c>
      <c r="J172" t="s">
        <v>36</v>
      </c>
      <c r="K172">
        <v>2</v>
      </c>
      <c r="L172" s="9">
        <f>Tablo1[[#This Row],[Toplam_Kar]]/Tablo1[[#This Row],[Toplam_Ciro]]</f>
        <v>0.34650000361159461</v>
      </c>
      <c r="M172" s="3">
        <f>Tablo1[[#This Row],[Birim_Fiyat]]-(Tablo1[[#This Row],[Toplam_Kar]]/Tablo1[[#This Row],[Urun_Adedi]])</f>
        <v>904.72500000000014</v>
      </c>
    </row>
    <row r="173" spans="1:13" x14ac:dyDescent="0.3">
      <c r="A173" t="s">
        <v>342</v>
      </c>
      <c r="B173" t="s">
        <v>343</v>
      </c>
      <c r="C173" t="s">
        <v>19</v>
      </c>
      <c r="D173" t="s">
        <v>28</v>
      </c>
      <c r="E173" t="s">
        <v>20</v>
      </c>
      <c r="F173">
        <v>1</v>
      </c>
      <c r="G173" s="3">
        <v>1048.27</v>
      </c>
      <c r="H173" s="3">
        <v>1048.27</v>
      </c>
      <c r="I173" s="3">
        <v>458.3</v>
      </c>
      <c r="J173" t="s">
        <v>16</v>
      </c>
      <c r="K173">
        <v>4</v>
      </c>
      <c r="L173" s="9">
        <f>Tablo1[[#This Row],[Toplam_Kar]]/Tablo1[[#This Row],[Toplam_Ciro]]</f>
        <v>0.43719652379635021</v>
      </c>
      <c r="M173" s="3">
        <f>Tablo1[[#This Row],[Birim_Fiyat]]-(Tablo1[[#This Row],[Toplam_Kar]]/Tablo1[[#This Row],[Urun_Adedi]])</f>
        <v>589.97</v>
      </c>
    </row>
    <row r="174" spans="1:13" x14ac:dyDescent="0.3">
      <c r="A174" t="s">
        <v>344</v>
      </c>
      <c r="B174" t="s">
        <v>345</v>
      </c>
      <c r="C174" t="s">
        <v>61</v>
      </c>
      <c r="D174" t="s">
        <v>23</v>
      </c>
      <c r="E174" t="s">
        <v>29</v>
      </c>
      <c r="F174">
        <v>7</v>
      </c>
      <c r="G174" s="3">
        <v>204.68</v>
      </c>
      <c r="H174" s="3">
        <v>1432.76</v>
      </c>
      <c r="I174" s="3">
        <v>345.1</v>
      </c>
      <c r="J174" t="s">
        <v>36</v>
      </c>
      <c r="K174">
        <v>5</v>
      </c>
      <c r="L174" s="9">
        <f>Tablo1[[#This Row],[Toplam_Kar]]/Tablo1[[#This Row],[Toplam_Ciro]]</f>
        <v>0.24086378737541531</v>
      </c>
      <c r="M174" s="3">
        <f>Tablo1[[#This Row],[Birim_Fiyat]]-(Tablo1[[#This Row],[Toplam_Kar]]/Tablo1[[#This Row],[Urun_Adedi]])</f>
        <v>155.38</v>
      </c>
    </row>
    <row r="175" spans="1:13" x14ac:dyDescent="0.3">
      <c r="A175" t="s">
        <v>346</v>
      </c>
      <c r="B175" t="s">
        <v>336</v>
      </c>
      <c r="C175" t="s">
        <v>70</v>
      </c>
      <c r="D175" t="s">
        <v>28</v>
      </c>
      <c r="E175" t="s">
        <v>20</v>
      </c>
      <c r="F175">
        <v>1</v>
      </c>
      <c r="G175" s="3">
        <v>2419.44</v>
      </c>
      <c r="H175" s="3">
        <v>2419.44</v>
      </c>
      <c r="I175" s="3">
        <v>940.84</v>
      </c>
      <c r="J175" t="s">
        <v>24</v>
      </c>
      <c r="K175">
        <v>7</v>
      </c>
      <c r="L175" s="9">
        <f>Tablo1[[#This Row],[Toplam_Kar]]/Tablo1[[#This Row],[Toplam_Ciro]]</f>
        <v>0.38886684522038156</v>
      </c>
      <c r="M175" s="3">
        <f>Tablo1[[#This Row],[Birim_Fiyat]]-(Tablo1[[#This Row],[Toplam_Kar]]/Tablo1[[#This Row],[Urun_Adedi]])</f>
        <v>1478.6</v>
      </c>
    </row>
    <row r="176" spans="1:13" x14ac:dyDescent="0.3">
      <c r="A176" t="s">
        <v>347</v>
      </c>
      <c r="B176" t="s">
        <v>348</v>
      </c>
      <c r="C176" t="s">
        <v>114</v>
      </c>
      <c r="D176" t="s">
        <v>58</v>
      </c>
      <c r="E176" t="s">
        <v>15</v>
      </c>
      <c r="F176">
        <v>3</v>
      </c>
      <c r="G176" s="3">
        <v>4975.43</v>
      </c>
      <c r="H176" s="3">
        <v>14926.29</v>
      </c>
      <c r="I176" s="3">
        <v>4970.2700000000004</v>
      </c>
      <c r="J176" t="s">
        <v>24</v>
      </c>
      <c r="K176">
        <v>4</v>
      </c>
      <c r="L176" s="9">
        <f>Tablo1[[#This Row],[Toplam_Kar]]/Tablo1[[#This Row],[Toplam_Ciro]]</f>
        <v>0.33298763456960839</v>
      </c>
      <c r="M176" s="3">
        <f>Tablo1[[#This Row],[Birim_Fiyat]]-(Tablo1[[#This Row],[Toplam_Kar]]/Tablo1[[#This Row],[Urun_Adedi]])</f>
        <v>3318.6733333333332</v>
      </c>
    </row>
    <row r="177" spans="1:13" x14ac:dyDescent="0.3">
      <c r="A177" t="s">
        <v>349</v>
      </c>
      <c r="B177" t="s">
        <v>350</v>
      </c>
      <c r="C177" t="s">
        <v>61</v>
      </c>
      <c r="D177" t="s">
        <v>14</v>
      </c>
      <c r="E177" t="s">
        <v>15</v>
      </c>
      <c r="F177">
        <v>8</v>
      </c>
      <c r="G177" s="3">
        <v>2247.61</v>
      </c>
      <c r="H177" s="3">
        <v>17980.88</v>
      </c>
      <c r="I177" s="3">
        <v>6167.96</v>
      </c>
      <c r="J177" t="s">
        <v>24</v>
      </c>
      <c r="K177">
        <v>7</v>
      </c>
      <c r="L177" s="9">
        <f>Tablo1[[#This Row],[Toplam_Kar]]/Tablo1[[#This Row],[Toplam_Ciro]]</f>
        <v>0.34302881727701867</v>
      </c>
      <c r="M177" s="3">
        <f>Tablo1[[#This Row],[Birim_Fiyat]]-(Tablo1[[#This Row],[Toplam_Kar]]/Tablo1[[#This Row],[Urun_Adedi]])</f>
        <v>1476.6150000000002</v>
      </c>
    </row>
    <row r="178" spans="1:13" x14ac:dyDescent="0.3">
      <c r="A178" t="s">
        <v>351</v>
      </c>
      <c r="B178" t="s">
        <v>257</v>
      </c>
      <c r="C178" t="s">
        <v>44</v>
      </c>
      <c r="D178" t="s">
        <v>23</v>
      </c>
      <c r="E178" t="s">
        <v>35</v>
      </c>
      <c r="F178">
        <v>2</v>
      </c>
      <c r="G178" s="3">
        <v>2677.77</v>
      </c>
      <c r="H178" s="3">
        <v>5355.54</v>
      </c>
      <c r="I178" s="4">
        <v>2300.5</v>
      </c>
      <c r="J178" t="s">
        <v>16</v>
      </c>
      <c r="K178">
        <v>1</v>
      </c>
      <c r="L178" s="9">
        <f>Tablo1[[#This Row],[Toplam_Kar]]/Tablo1[[#This Row],[Toplam_Ciro]]</f>
        <v>0.42955518957938882</v>
      </c>
      <c r="M178" s="3">
        <f>Tablo1[[#This Row],[Birim_Fiyat]]-(Tablo1[[#This Row],[Toplam_Kar]]/Tablo1[[#This Row],[Urun_Adedi]])</f>
        <v>1527.52</v>
      </c>
    </row>
    <row r="179" spans="1:13" x14ac:dyDescent="0.3">
      <c r="A179" t="s">
        <v>352</v>
      </c>
      <c r="B179" t="s">
        <v>353</v>
      </c>
      <c r="C179" t="s">
        <v>32</v>
      </c>
      <c r="D179" t="s">
        <v>14</v>
      </c>
      <c r="E179" t="s">
        <v>15</v>
      </c>
      <c r="F179">
        <v>7</v>
      </c>
      <c r="G179" s="3">
        <v>4589.2</v>
      </c>
      <c r="H179" s="3">
        <v>32124.400000000001</v>
      </c>
      <c r="I179" s="3">
        <v>11854.07</v>
      </c>
      <c r="J179" t="s">
        <v>36</v>
      </c>
      <c r="K179">
        <v>3</v>
      </c>
      <c r="L179" s="9">
        <f>Tablo1[[#This Row],[Toplam_Kar]]/Tablo1[[#This Row],[Toplam_Ciro]]</f>
        <v>0.36900517986328146</v>
      </c>
      <c r="M179" s="3">
        <f>Tablo1[[#This Row],[Birim_Fiyat]]-(Tablo1[[#This Row],[Toplam_Kar]]/Tablo1[[#This Row],[Urun_Adedi]])</f>
        <v>2895.7614285714285</v>
      </c>
    </row>
    <row r="180" spans="1:13" x14ac:dyDescent="0.3">
      <c r="A180" t="s">
        <v>354</v>
      </c>
      <c r="B180" t="s">
        <v>355</v>
      </c>
      <c r="C180" t="s">
        <v>53</v>
      </c>
      <c r="D180" t="s">
        <v>58</v>
      </c>
      <c r="E180" t="s">
        <v>20</v>
      </c>
      <c r="F180">
        <v>4</v>
      </c>
      <c r="G180" s="3">
        <v>2756.36</v>
      </c>
      <c r="H180" s="3">
        <v>11025.44</v>
      </c>
      <c r="I180" s="3">
        <v>4827.6499999999996</v>
      </c>
      <c r="J180" t="s">
        <v>24</v>
      </c>
      <c r="K180">
        <v>6</v>
      </c>
      <c r="L180" s="9">
        <f>Tablo1[[#This Row],[Toplam_Kar]]/Tablo1[[#This Row],[Toplam_Ciro]]</f>
        <v>0.43786461129895943</v>
      </c>
      <c r="M180" s="3">
        <f>Tablo1[[#This Row],[Birim_Fiyat]]-(Tablo1[[#This Row],[Toplam_Kar]]/Tablo1[[#This Row],[Urun_Adedi]])</f>
        <v>1549.4475000000002</v>
      </c>
    </row>
    <row r="181" spans="1:13" x14ac:dyDescent="0.3">
      <c r="A181" t="s">
        <v>356</v>
      </c>
      <c r="B181" t="s">
        <v>229</v>
      </c>
      <c r="C181" t="s">
        <v>39</v>
      </c>
      <c r="D181" t="s">
        <v>23</v>
      </c>
      <c r="E181" t="s">
        <v>35</v>
      </c>
      <c r="F181">
        <v>3</v>
      </c>
      <c r="G181" s="3">
        <v>1958.67</v>
      </c>
      <c r="H181" s="3">
        <v>5876.01</v>
      </c>
      <c r="I181" s="3">
        <v>1780.82</v>
      </c>
      <c r="J181" t="s">
        <v>36</v>
      </c>
      <c r="K181">
        <v>2</v>
      </c>
      <c r="L181" s="9">
        <f>Tablo1[[#This Row],[Toplam_Kar]]/Tablo1[[#This Row],[Toplam_Ciro]]</f>
        <v>0.30306619627944809</v>
      </c>
      <c r="M181" s="3">
        <f>Tablo1[[#This Row],[Birim_Fiyat]]-(Tablo1[[#This Row],[Toplam_Kar]]/Tablo1[[#This Row],[Urun_Adedi]])</f>
        <v>1365.0633333333335</v>
      </c>
    </row>
    <row r="182" spans="1:13" x14ac:dyDescent="0.3">
      <c r="A182" t="s">
        <v>357</v>
      </c>
      <c r="B182" t="s">
        <v>358</v>
      </c>
      <c r="C182" t="s">
        <v>27</v>
      </c>
      <c r="D182" t="s">
        <v>40</v>
      </c>
      <c r="E182" t="s">
        <v>29</v>
      </c>
      <c r="F182">
        <v>7</v>
      </c>
      <c r="G182" s="3">
        <v>3205.61</v>
      </c>
      <c r="H182" s="3">
        <v>22439.27</v>
      </c>
      <c r="I182" s="3">
        <v>6696.46</v>
      </c>
      <c r="J182" t="s">
        <v>24</v>
      </c>
      <c r="K182">
        <v>1</v>
      </c>
      <c r="L182" s="9">
        <f>Tablo1[[#This Row],[Toplam_Kar]]/Tablo1[[#This Row],[Toplam_Ciro]]</f>
        <v>0.29842592918575339</v>
      </c>
      <c r="M182" s="3">
        <f>Tablo1[[#This Row],[Birim_Fiyat]]-(Tablo1[[#This Row],[Toplam_Kar]]/Tablo1[[#This Row],[Urun_Adedi]])</f>
        <v>2248.9728571428573</v>
      </c>
    </row>
    <row r="183" spans="1:13" x14ac:dyDescent="0.3">
      <c r="A183" t="s">
        <v>359</v>
      </c>
      <c r="B183" t="s">
        <v>360</v>
      </c>
      <c r="C183" t="s">
        <v>70</v>
      </c>
      <c r="D183" t="s">
        <v>14</v>
      </c>
      <c r="E183" t="s">
        <v>35</v>
      </c>
      <c r="F183">
        <v>4</v>
      </c>
      <c r="G183" s="3">
        <v>657.88</v>
      </c>
      <c r="H183" s="3">
        <v>2631.52</v>
      </c>
      <c r="I183" s="3">
        <v>443.07</v>
      </c>
      <c r="J183" t="s">
        <v>24</v>
      </c>
      <c r="K183">
        <v>2</v>
      </c>
      <c r="L183" s="9">
        <f>Tablo1[[#This Row],[Toplam_Kar]]/Tablo1[[#This Row],[Toplam_Ciro]]</f>
        <v>0.1683703714963215</v>
      </c>
      <c r="M183" s="3">
        <f>Tablo1[[#This Row],[Birim_Fiyat]]-(Tablo1[[#This Row],[Toplam_Kar]]/Tablo1[[#This Row],[Urun_Adedi]])</f>
        <v>547.11249999999995</v>
      </c>
    </row>
    <row r="184" spans="1:13" x14ac:dyDescent="0.3">
      <c r="A184" t="s">
        <v>361</v>
      </c>
      <c r="B184" t="s">
        <v>362</v>
      </c>
      <c r="C184" t="s">
        <v>13</v>
      </c>
      <c r="D184" t="s">
        <v>40</v>
      </c>
      <c r="E184" t="s">
        <v>35</v>
      </c>
      <c r="F184">
        <v>1</v>
      </c>
      <c r="G184" s="3">
        <v>2440.9299999999998</v>
      </c>
      <c r="H184" s="3">
        <v>2440.9299999999998</v>
      </c>
      <c r="I184" s="3">
        <v>716.06</v>
      </c>
      <c r="J184" t="s">
        <v>24</v>
      </c>
      <c r="K184">
        <v>2</v>
      </c>
      <c r="L184" s="9">
        <f>Tablo1[[#This Row],[Toplam_Kar]]/Tablo1[[#This Row],[Toplam_Ciro]]</f>
        <v>0.29335540142486677</v>
      </c>
      <c r="M184" s="3">
        <f>Tablo1[[#This Row],[Birim_Fiyat]]-(Tablo1[[#This Row],[Toplam_Kar]]/Tablo1[[#This Row],[Urun_Adedi]])</f>
        <v>1724.87</v>
      </c>
    </row>
    <row r="185" spans="1:13" x14ac:dyDescent="0.3">
      <c r="A185" t="s">
        <v>363</v>
      </c>
      <c r="B185" t="s">
        <v>98</v>
      </c>
      <c r="C185" t="s">
        <v>39</v>
      </c>
      <c r="D185" t="s">
        <v>58</v>
      </c>
      <c r="E185" t="s">
        <v>20</v>
      </c>
      <c r="F185">
        <v>6</v>
      </c>
      <c r="G185" s="3">
        <v>1239.6099999999999</v>
      </c>
      <c r="H185" s="3">
        <v>7437.66</v>
      </c>
      <c r="I185" s="3">
        <v>2140.6799999999998</v>
      </c>
      <c r="J185" t="s">
        <v>16</v>
      </c>
      <c r="K185">
        <v>5</v>
      </c>
      <c r="L185" s="9">
        <f>Tablo1[[#This Row],[Toplam_Kar]]/Tablo1[[#This Row],[Toplam_Ciro]]</f>
        <v>0.28781632932938583</v>
      </c>
      <c r="M185" s="3">
        <f>Tablo1[[#This Row],[Birim_Fiyat]]-(Tablo1[[#This Row],[Toplam_Kar]]/Tablo1[[#This Row],[Urun_Adedi]])</f>
        <v>882.82999999999993</v>
      </c>
    </row>
    <row r="186" spans="1:13" x14ac:dyDescent="0.3">
      <c r="A186" t="s">
        <v>364</v>
      </c>
      <c r="B186" t="s">
        <v>365</v>
      </c>
      <c r="C186" t="s">
        <v>61</v>
      </c>
      <c r="D186" t="s">
        <v>58</v>
      </c>
      <c r="E186" t="s">
        <v>29</v>
      </c>
      <c r="F186">
        <v>4</v>
      </c>
      <c r="G186" s="3">
        <v>1180.3</v>
      </c>
      <c r="H186" s="3">
        <v>4721.2</v>
      </c>
      <c r="I186" s="3">
        <v>1420.21</v>
      </c>
      <c r="J186" t="s">
        <v>16</v>
      </c>
      <c r="K186">
        <v>4</v>
      </c>
      <c r="L186" s="9">
        <f>Tablo1[[#This Row],[Toplam_Kar]]/Tablo1[[#This Row],[Toplam_Ciro]]</f>
        <v>0.30081547064305686</v>
      </c>
      <c r="M186" s="3">
        <f>Tablo1[[#This Row],[Birim_Fiyat]]-(Tablo1[[#This Row],[Toplam_Kar]]/Tablo1[[#This Row],[Urun_Adedi]])</f>
        <v>825.24749999999995</v>
      </c>
    </row>
    <row r="187" spans="1:13" x14ac:dyDescent="0.3">
      <c r="A187" t="s">
        <v>366</v>
      </c>
      <c r="B187" t="s">
        <v>367</v>
      </c>
      <c r="C187" s="5"/>
      <c r="D187" t="s">
        <v>40</v>
      </c>
      <c r="E187" t="s">
        <v>29</v>
      </c>
      <c r="F187">
        <v>3</v>
      </c>
      <c r="G187" s="3">
        <v>274.18</v>
      </c>
      <c r="H187" s="3">
        <v>822.54</v>
      </c>
      <c r="I187" s="3">
        <v>205.22</v>
      </c>
      <c r="J187" t="s">
        <v>24</v>
      </c>
      <c r="K187">
        <v>5</v>
      </c>
      <c r="L187" s="9">
        <f>Tablo1[[#This Row],[Toplam_Kar]]/Tablo1[[#This Row],[Toplam_Ciro]]</f>
        <v>0.2494954652661269</v>
      </c>
      <c r="M187" s="3">
        <f>Tablo1[[#This Row],[Birim_Fiyat]]-(Tablo1[[#This Row],[Toplam_Kar]]/Tablo1[[#This Row],[Urun_Adedi]])</f>
        <v>205.77333333333334</v>
      </c>
    </row>
    <row r="188" spans="1:13" x14ac:dyDescent="0.3">
      <c r="A188" t="s">
        <v>368</v>
      </c>
      <c r="B188" t="s">
        <v>369</v>
      </c>
      <c r="C188" t="s">
        <v>39</v>
      </c>
      <c r="D188" t="s">
        <v>28</v>
      </c>
      <c r="E188" t="s">
        <v>15</v>
      </c>
      <c r="F188">
        <v>4</v>
      </c>
      <c r="G188" s="3">
        <v>2224.61</v>
      </c>
      <c r="H188" s="3">
        <v>8898.44</v>
      </c>
      <c r="I188" s="3">
        <v>2161.4699999999998</v>
      </c>
      <c r="J188" t="s">
        <v>36</v>
      </c>
      <c r="K188">
        <v>2</v>
      </c>
      <c r="L188" s="9">
        <f>Tablo1[[#This Row],[Toplam_Kar]]/Tablo1[[#This Row],[Toplam_Ciro]]</f>
        <v>0.24290437424986849</v>
      </c>
      <c r="M188" s="3">
        <f>Tablo1[[#This Row],[Birim_Fiyat]]-(Tablo1[[#This Row],[Toplam_Kar]]/Tablo1[[#This Row],[Urun_Adedi]])</f>
        <v>1684.2425000000003</v>
      </c>
    </row>
    <row r="189" spans="1:13" x14ac:dyDescent="0.3">
      <c r="A189" t="s">
        <v>370</v>
      </c>
      <c r="B189" t="s">
        <v>371</v>
      </c>
      <c r="C189" t="s">
        <v>44</v>
      </c>
      <c r="D189" t="s">
        <v>14</v>
      </c>
      <c r="E189" t="s">
        <v>35</v>
      </c>
      <c r="F189">
        <v>1</v>
      </c>
      <c r="G189" s="3">
        <v>4241.1499999999996</v>
      </c>
      <c r="H189" s="3">
        <v>4241.1499999999996</v>
      </c>
      <c r="I189" s="3">
        <v>1565.2</v>
      </c>
      <c r="J189" t="s">
        <v>24</v>
      </c>
      <c r="K189">
        <v>6</v>
      </c>
      <c r="L189" s="9">
        <f>Tablo1[[#This Row],[Toplam_Kar]]/Tablo1[[#This Row],[Toplam_Ciro]]</f>
        <v>0.3690508470579914</v>
      </c>
      <c r="M189" s="3">
        <f>Tablo1[[#This Row],[Birim_Fiyat]]-(Tablo1[[#This Row],[Toplam_Kar]]/Tablo1[[#This Row],[Urun_Adedi]])</f>
        <v>2675.95</v>
      </c>
    </row>
    <row r="190" spans="1:13" x14ac:dyDescent="0.3">
      <c r="A190" t="s">
        <v>372</v>
      </c>
      <c r="B190" t="s">
        <v>373</v>
      </c>
      <c r="C190" t="s">
        <v>13</v>
      </c>
      <c r="D190" t="s">
        <v>23</v>
      </c>
      <c r="E190" t="s">
        <v>29</v>
      </c>
      <c r="F190">
        <v>7</v>
      </c>
      <c r="G190" s="3">
        <v>257.2</v>
      </c>
      <c r="H190" s="3">
        <v>1800.4</v>
      </c>
      <c r="I190" s="3">
        <v>496.68</v>
      </c>
      <c r="J190" t="s">
        <v>24</v>
      </c>
      <c r="K190">
        <v>4</v>
      </c>
      <c r="L190" s="9">
        <f>Tablo1[[#This Row],[Toplam_Kar]]/Tablo1[[#This Row],[Toplam_Ciro]]</f>
        <v>0.27587202843812486</v>
      </c>
      <c r="M190" s="3">
        <f>Tablo1[[#This Row],[Birim_Fiyat]]-(Tablo1[[#This Row],[Toplam_Kar]]/Tablo1[[#This Row],[Urun_Adedi]])</f>
        <v>186.24571428571426</v>
      </c>
    </row>
    <row r="191" spans="1:13" x14ac:dyDescent="0.3">
      <c r="A191" t="s">
        <v>374</v>
      </c>
      <c r="B191" t="s">
        <v>375</v>
      </c>
      <c r="C191" t="s">
        <v>27</v>
      </c>
      <c r="D191" t="s">
        <v>23</v>
      </c>
      <c r="E191" t="s">
        <v>35</v>
      </c>
      <c r="F191">
        <v>5</v>
      </c>
      <c r="G191" s="3">
        <v>1922.01</v>
      </c>
      <c r="H191" s="3">
        <v>9610.0499999999993</v>
      </c>
      <c r="I191" s="3">
        <v>1506.24</v>
      </c>
      <c r="J191" t="s">
        <v>24</v>
      </c>
      <c r="K191">
        <v>7</v>
      </c>
      <c r="L191" s="9">
        <f>Tablo1[[#This Row],[Toplam_Kar]]/Tablo1[[#This Row],[Toplam_Ciro]]</f>
        <v>0.15673591708679976</v>
      </c>
      <c r="M191" s="3">
        <f>Tablo1[[#This Row],[Birim_Fiyat]]-(Tablo1[[#This Row],[Toplam_Kar]]/Tablo1[[#This Row],[Urun_Adedi]])</f>
        <v>1620.7619999999999</v>
      </c>
    </row>
    <row r="192" spans="1:13" x14ac:dyDescent="0.3">
      <c r="A192" t="s">
        <v>376</v>
      </c>
      <c r="B192" t="s">
        <v>377</v>
      </c>
      <c r="C192" t="s">
        <v>27</v>
      </c>
      <c r="D192" t="s">
        <v>28</v>
      </c>
      <c r="E192" t="s">
        <v>29</v>
      </c>
      <c r="F192">
        <v>8</v>
      </c>
      <c r="G192" s="3">
        <v>2979.59</v>
      </c>
      <c r="H192" s="3">
        <v>23836.720000000001</v>
      </c>
      <c r="I192" s="3">
        <v>7825.09</v>
      </c>
      <c r="J192" t="s">
        <v>36</v>
      </c>
      <c r="K192">
        <v>2</v>
      </c>
      <c r="L192" s="9">
        <f>Tablo1[[#This Row],[Toplam_Kar]]/Tablo1[[#This Row],[Toplam_Ciro]]</f>
        <v>0.32827880681570282</v>
      </c>
      <c r="M192" s="3">
        <f>Tablo1[[#This Row],[Birim_Fiyat]]-(Tablo1[[#This Row],[Toplam_Kar]]/Tablo1[[#This Row],[Urun_Adedi]])</f>
        <v>2001.4537500000001</v>
      </c>
    </row>
    <row r="193" spans="1:13" x14ac:dyDescent="0.3">
      <c r="A193" t="s">
        <v>378</v>
      </c>
      <c r="B193" t="s">
        <v>379</v>
      </c>
      <c r="C193" t="s">
        <v>61</v>
      </c>
      <c r="D193" t="s">
        <v>40</v>
      </c>
      <c r="E193" t="s">
        <v>20</v>
      </c>
      <c r="F193">
        <v>7</v>
      </c>
      <c r="G193" s="3">
        <v>1176.99</v>
      </c>
      <c r="H193" s="3">
        <v>8238.93</v>
      </c>
      <c r="I193" s="3">
        <v>2408.5500000000002</v>
      </c>
      <c r="J193" t="s">
        <v>36</v>
      </c>
      <c r="K193">
        <v>4</v>
      </c>
      <c r="L193" s="9">
        <f>Tablo1[[#This Row],[Toplam_Kar]]/Tablo1[[#This Row],[Toplam_Ciro]]</f>
        <v>0.29233771861151875</v>
      </c>
      <c r="M193" s="3">
        <f>Tablo1[[#This Row],[Birim_Fiyat]]-(Tablo1[[#This Row],[Toplam_Kar]]/Tablo1[[#This Row],[Urun_Adedi]])</f>
        <v>832.91142857142859</v>
      </c>
    </row>
    <row r="194" spans="1:13" x14ac:dyDescent="0.3">
      <c r="A194" t="s">
        <v>380</v>
      </c>
      <c r="B194" t="s">
        <v>381</v>
      </c>
      <c r="C194" t="s">
        <v>32</v>
      </c>
      <c r="D194" t="s">
        <v>23</v>
      </c>
      <c r="E194" t="s">
        <v>35</v>
      </c>
      <c r="F194">
        <v>5</v>
      </c>
      <c r="G194" s="3">
        <v>3969.8</v>
      </c>
      <c r="H194" s="3">
        <v>19849</v>
      </c>
      <c r="I194" s="3">
        <v>8029.06</v>
      </c>
      <c r="J194" t="s">
        <v>16</v>
      </c>
      <c r="K194">
        <v>7</v>
      </c>
      <c r="L194" s="9">
        <f>Tablo1[[#This Row],[Toplam_Kar]]/Tablo1[[#This Row],[Toplam_Ciro]]</f>
        <v>0.40450702806186711</v>
      </c>
      <c r="M194" s="3">
        <f>Tablo1[[#This Row],[Birim_Fiyat]]-(Tablo1[[#This Row],[Toplam_Kar]]/Tablo1[[#This Row],[Urun_Adedi]])</f>
        <v>2363.9880000000003</v>
      </c>
    </row>
    <row r="195" spans="1:13" x14ac:dyDescent="0.3">
      <c r="A195" t="s">
        <v>382</v>
      </c>
      <c r="B195" t="s">
        <v>138</v>
      </c>
      <c r="C195" t="s">
        <v>13</v>
      </c>
      <c r="D195" t="s">
        <v>58</v>
      </c>
      <c r="E195" t="s">
        <v>35</v>
      </c>
      <c r="F195">
        <v>8</v>
      </c>
      <c r="G195" s="3">
        <v>3206.01</v>
      </c>
      <c r="H195" s="3">
        <v>25648.080000000002</v>
      </c>
      <c r="I195" s="3">
        <v>5461.87</v>
      </c>
      <c r="J195" t="s">
        <v>24</v>
      </c>
      <c r="K195">
        <v>4</v>
      </c>
      <c r="L195" s="9">
        <f>Tablo1[[#This Row],[Toplam_Kar]]/Tablo1[[#This Row],[Toplam_Ciro]]</f>
        <v>0.21295434200142854</v>
      </c>
      <c r="M195" s="3">
        <f>Tablo1[[#This Row],[Birim_Fiyat]]-(Tablo1[[#This Row],[Toplam_Kar]]/Tablo1[[#This Row],[Urun_Adedi]])</f>
        <v>2523.2762500000003</v>
      </c>
    </row>
    <row r="196" spans="1:13" x14ac:dyDescent="0.3">
      <c r="A196" t="s">
        <v>383</v>
      </c>
      <c r="B196" t="s">
        <v>384</v>
      </c>
      <c r="C196" t="s">
        <v>13</v>
      </c>
      <c r="D196" t="s">
        <v>40</v>
      </c>
      <c r="E196" t="s">
        <v>35</v>
      </c>
      <c r="F196">
        <v>5</v>
      </c>
      <c r="G196" s="3">
        <v>3680.73</v>
      </c>
      <c r="H196" s="3">
        <v>18403.650000000001</v>
      </c>
      <c r="I196" s="3">
        <v>8233.6</v>
      </c>
      <c r="J196" t="s">
        <v>24</v>
      </c>
      <c r="K196">
        <v>5</v>
      </c>
      <c r="L196" s="9">
        <f>Tablo1[[#This Row],[Toplam_Kar]]/Tablo1[[#This Row],[Toplam_Ciro]]</f>
        <v>0.44738951240650632</v>
      </c>
      <c r="M196" s="3">
        <f>Tablo1[[#This Row],[Birim_Fiyat]]-(Tablo1[[#This Row],[Toplam_Kar]]/Tablo1[[#This Row],[Urun_Adedi]])</f>
        <v>2034.01</v>
      </c>
    </row>
    <row r="197" spans="1:13" x14ac:dyDescent="0.3">
      <c r="A197" t="s">
        <v>385</v>
      </c>
      <c r="B197" t="s">
        <v>98</v>
      </c>
      <c r="C197" t="s">
        <v>61</v>
      </c>
      <c r="D197" t="s">
        <v>28</v>
      </c>
      <c r="E197" t="s">
        <v>15</v>
      </c>
      <c r="F197">
        <v>4</v>
      </c>
      <c r="G197" s="3">
        <v>1251.6600000000001</v>
      </c>
      <c r="H197" s="3">
        <v>5006.6400000000003</v>
      </c>
      <c r="I197" s="3">
        <v>1029.47</v>
      </c>
      <c r="J197" t="s">
        <v>16</v>
      </c>
      <c r="K197">
        <v>6</v>
      </c>
      <c r="L197" s="9">
        <f>Tablo1[[#This Row],[Toplam_Kar]]/Tablo1[[#This Row],[Toplam_Ciro]]</f>
        <v>0.20562093539779172</v>
      </c>
      <c r="M197" s="3">
        <f>Tablo1[[#This Row],[Birim_Fiyat]]-(Tablo1[[#This Row],[Toplam_Kar]]/Tablo1[[#This Row],[Urun_Adedi]])</f>
        <v>994.29250000000002</v>
      </c>
    </row>
    <row r="198" spans="1:13" x14ac:dyDescent="0.3">
      <c r="A198" t="s">
        <v>386</v>
      </c>
      <c r="B198" t="s">
        <v>387</v>
      </c>
      <c r="C198" t="s">
        <v>44</v>
      </c>
      <c r="D198" t="s">
        <v>40</v>
      </c>
      <c r="E198" t="s">
        <v>35</v>
      </c>
      <c r="F198">
        <v>1</v>
      </c>
      <c r="G198" s="3">
        <v>1761.81</v>
      </c>
      <c r="H198" s="3">
        <v>1761.81</v>
      </c>
      <c r="I198" s="3">
        <v>334.12</v>
      </c>
      <c r="J198" t="s">
        <v>24</v>
      </c>
      <c r="K198">
        <v>2</v>
      </c>
      <c r="L198" s="9">
        <f>Tablo1[[#This Row],[Toplam_Kar]]/Tablo1[[#This Row],[Toplam_Ciro]]</f>
        <v>0.18964587554844167</v>
      </c>
      <c r="M198" s="3">
        <f>Tablo1[[#This Row],[Birim_Fiyat]]-(Tablo1[[#This Row],[Toplam_Kar]]/Tablo1[[#This Row],[Urun_Adedi]])</f>
        <v>1427.69</v>
      </c>
    </row>
    <row r="199" spans="1:13" x14ac:dyDescent="0.3">
      <c r="A199" t="s">
        <v>388</v>
      </c>
      <c r="B199" t="s">
        <v>102</v>
      </c>
      <c r="C199" t="s">
        <v>114</v>
      </c>
      <c r="D199" t="s">
        <v>28</v>
      </c>
      <c r="E199" t="s">
        <v>20</v>
      </c>
      <c r="F199">
        <v>7</v>
      </c>
      <c r="G199" s="3">
        <v>878.94</v>
      </c>
      <c r="H199" s="3">
        <v>6152.58</v>
      </c>
      <c r="I199" s="3">
        <v>2690.89</v>
      </c>
      <c r="J199" t="s">
        <v>24</v>
      </c>
      <c r="K199">
        <v>5</v>
      </c>
      <c r="L199" s="9">
        <f>Tablo1[[#This Row],[Toplam_Kar]]/Tablo1[[#This Row],[Toplam_Ciro]]</f>
        <v>0.43735961174011551</v>
      </c>
      <c r="M199" s="3">
        <f>Tablo1[[#This Row],[Birim_Fiyat]]-(Tablo1[[#This Row],[Toplam_Kar]]/Tablo1[[#This Row],[Urun_Adedi]])</f>
        <v>494.52714285714291</v>
      </c>
    </row>
    <row r="200" spans="1:13" x14ac:dyDescent="0.3">
      <c r="A200" t="s">
        <v>389</v>
      </c>
      <c r="B200" t="s">
        <v>209</v>
      </c>
      <c r="C200" t="s">
        <v>114</v>
      </c>
      <c r="D200" t="s">
        <v>58</v>
      </c>
      <c r="E200" t="s">
        <v>15</v>
      </c>
      <c r="F200">
        <v>3</v>
      </c>
      <c r="G200" s="3">
        <v>3098.54</v>
      </c>
      <c r="H200" s="3">
        <v>9295.6200000000008</v>
      </c>
      <c r="I200" s="3">
        <v>3567.77</v>
      </c>
      <c r="J200" t="s">
        <v>16</v>
      </c>
      <c r="K200">
        <v>7</v>
      </c>
      <c r="L200" s="9">
        <f>Tablo1[[#This Row],[Toplam_Kar]]/Tablo1[[#This Row],[Toplam_Ciro]]</f>
        <v>0.38381194584115957</v>
      </c>
      <c r="M200" s="3">
        <f>Tablo1[[#This Row],[Birim_Fiyat]]-(Tablo1[[#This Row],[Toplam_Kar]]/Tablo1[[#This Row],[Urun_Adedi]])</f>
        <v>1909.2833333333333</v>
      </c>
    </row>
    <row r="201" spans="1:13" x14ac:dyDescent="0.3">
      <c r="A201" t="s">
        <v>390</v>
      </c>
      <c r="B201" t="s">
        <v>391</v>
      </c>
      <c r="C201" t="s">
        <v>53</v>
      </c>
      <c r="D201" t="s">
        <v>40</v>
      </c>
      <c r="E201" t="s">
        <v>35</v>
      </c>
      <c r="F201">
        <v>4</v>
      </c>
      <c r="G201" s="3">
        <v>4308.8900000000003</v>
      </c>
      <c r="H201" s="3">
        <v>17235.560000000001</v>
      </c>
      <c r="I201" s="3">
        <v>6338.82</v>
      </c>
      <c r="J201" t="s">
        <v>16</v>
      </c>
      <c r="K201">
        <v>4</v>
      </c>
      <c r="L201" s="9">
        <f>Tablo1[[#This Row],[Toplam_Kar]]/Tablo1[[#This Row],[Toplam_Ciro]]</f>
        <v>0.36777569165144613</v>
      </c>
      <c r="M201" s="3">
        <f>Tablo1[[#This Row],[Birim_Fiyat]]-(Tablo1[[#This Row],[Toplam_Kar]]/Tablo1[[#This Row],[Urun_Adedi]])</f>
        <v>2724.1850000000004</v>
      </c>
    </row>
    <row r="202" spans="1:13" x14ac:dyDescent="0.3">
      <c r="A202" t="s">
        <v>392</v>
      </c>
      <c r="B202" t="s">
        <v>393</v>
      </c>
      <c r="C202" t="s">
        <v>114</v>
      </c>
      <c r="D202" t="s">
        <v>58</v>
      </c>
      <c r="E202" t="s">
        <v>15</v>
      </c>
      <c r="F202">
        <v>7</v>
      </c>
      <c r="G202" s="3">
        <v>2446.5300000000002</v>
      </c>
      <c r="H202" s="3">
        <v>17125.71</v>
      </c>
      <c r="I202" s="3">
        <v>4811.71</v>
      </c>
      <c r="J202" t="s">
        <v>16</v>
      </c>
      <c r="K202">
        <v>3</v>
      </c>
      <c r="L202" s="9">
        <f>Tablo1[[#This Row],[Toplam_Kar]]/Tablo1[[#This Row],[Toplam_Ciro]]</f>
        <v>0.28096411769205482</v>
      </c>
      <c r="M202" s="3">
        <f>Tablo1[[#This Row],[Birim_Fiyat]]-(Tablo1[[#This Row],[Toplam_Kar]]/Tablo1[[#This Row],[Urun_Adedi]])</f>
        <v>1759.1428571428573</v>
      </c>
    </row>
    <row r="203" spans="1:13" x14ac:dyDescent="0.3">
      <c r="A203" t="s">
        <v>394</v>
      </c>
      <c r="B203" t="s">
        <v>395</v>
      </c>
      <c r="C203" t="s">
        <v>39</v>
      </c>
      <c r="D203" t="s">
        <v>40</v>
      </c>
      <c r="E203" t="s">
        <v>20</v>
      </c>
      <c r="F203">
        <v>5</v>
      </c>
      <c r="G203" s="3">
        <v>2915.49</v>
      </c>
      <c r="H203" s="3">
        <v>14577.45</v>
      </c>
      <c r="I203" s="3">
        <v>3799.87</v>
      </c>
      <c r="J203" t="s">
        <v>16</v>
      </c>
      <c r="K203">
        <v>4</v>
      </c>
      <c r="L203" s="9">
        <f>Tablo1[[#This Row],[Toplam_Kar]]/Tablo1[[#This Row],[Toplam_Ciro]]</f>
        <v>0.26066767507348676</v>
      </c>
      <c r="M203" s="3">
        <f>Tablo1[[#This Row],[Birim_Fiyat]]-(Tablo1[[#This Row],[Toplam_Kar]]/Tablo1[[#This Row],[Urun_Adedi]])</f>
        <v>2155.5159999999996</v>
      </c>
    </row>
    <row r="204" spans="1:13" x14ac:dyDescent="0.3">
      <c r="A204" t="s">
        <v>396</v>
      </c>
      <c r="B204" t="s">
        <v>397</v>
      </c>
      <c r="C204" t="s">
        <v>19</v>
      </c>
      <c r="D204" t="s">
        <v>14</v>
      </c>
      <c r="E204" t="s">
        <v>35</v>
      </c>
      <c r="F204">
        <v>1</v>
      </c>
      <c r="G204" s="3">
        <v>1316.96</v>
      </c>
      <c r="H204" s="3">
        <v>1316.96</v>
      </c>
      <c r="I204" s="3">
        <v>549.12</v>
      </c>
      <c r="J204" t="s">
        <v>24</v>
      </c>
      <c r="K204">
        <v>3</v>
      </c>
      <c r="L204" s="9">
        <f>Tablo1[[#This Row],[Toplam_Kar]]/Tablo1[[#This Row],[Toplam_Ciro]]</f>
        <v>0.41696027214190257</v>
      </c>
      <c r="M204" s="3">
        <f>Tablo1[[#This Row],[Birim_Fiyat]]-(Tablo1[[#This Row],[Toplam_Kar]]/Tablo1[[#This Row],[Urun_Adedi]])</f>
        <v>767.84</v>
      </c>
    </row>
    <row r="205" spans="1:13" x14ac:dyDescent="0.3">
      <c r="A205" t="s">
        <v>398</v>
      </c>
      <c r="B205" t="s">
        <v>195</v>
      </c>
      <c r="C205" t="s">
        <v>44</v>
      </c>
      <c r="D205" t="s">
        <v>23</v>
      </c>
      <c r="E205" t="s">
        <v>15</v>
      </c>
      <c r="F205">
        <v>7</v>
      </c>
      <c r="G205" s="3">
        <v>3530.56</v>
      </c>
      <c r="H205" s="3">
        <v>24713.919999999998</v>
      </c>
      <c r="I205" s="3">
        <v>7827.19</v>
      </c>
      <c r="J205" t="s">
        <v>16</v>
      </c>
      <c r="K205">
        <v>6</v>
      </c>
      <c r="L205" s="9">
        <f>Tablo1[[#This Row],[Toplam_Kar]]/Tablo1[[#This Row],[Toplam_Ciro]]</f>
        <v>0.31671179642889513</v>
      </c>
      <c r="M205" s="3">
        <f>Tablo1[[#This Row],[Birim_Fiyat]]-(Tablo1[[#This Row],[Toplam_Kar]]/Tablo1[[#This Row],[Urun_Adedi]])</f>
        <v>2412.3900000000003</v>
      </c>
    </row>
    <row r="206" spans="1:13" x14ac:dyDescent="0.3">
      <c r="A206" t="s">
        <v>399</v>
      </c>
      <c r="B206" t="s">
        <v>400</v>
      </c>
      <c r="C206" t="s">
        <v>27</v>
      </c>
      <c r="D206" t="s">
        <v>14</v>
      </c>
      <c r="E206" t="s">
        <v>15</v>
      </c>
      <c r="F206">
        <v>6</v>
      </c>
      <c r="G206" s="3">
        <v>2701.28</v>
      </c>
      <c r="H206" s="3">
        <v>16207.68</v>
      </c>
      <c r="I206" s="3">
        <v>3686.99</v>
      </c>
      <c r="J206" t="s">
        <v>36</v>
      </c>
      <c r="K206">
        <v>2</v>
      </c>
      <c r="L206" s="9">
        <f>Tablo1[[#This Row],[Toplam_Kar]]/Tablo1[[#This Row],[Toplam_Ciro]]</f>
        <v>0.22748413097988113</v>
      </c>
      <c r="M206" s="3">
        <f>Tablo1[[#This Row],[Birim_Fiyat]]-(Tablo1[[#This Row],[Toplam_Kar]]/Tablo1[[#This Row],[Urun_Adedi]])</f>
        <v>2086.7816666666668</v>
      </c>
    </row>
    <row r="207" spans="1:13" x14ac:dyDescent="0.3">
      <c r="A207" t="s">
        <v>401</v>
      </c>
      <c r="B207" t="s">
        <v>176</v>
      </c>
      <c r="C207" t="s">
        <v>19</v>
      </c>
      <c r="D207" t="s">
        <v>23</v>
      </c>
      <c r="E207" t="s">
        <v>35</v>
      </c>
      <c r="F207">
        <v>1</v>
      </c>
      <c r="G207" s="3">
        <v>1304.8</v>
      </c>
      <c r="H207" s="3">
        <v>1304.8</v>
      </c>
      <c r="I207" s="3">
        <v>475.24</v>
      </c>
      <c r="J207" t="s">
        <v>16</v>
      </c>
      <c r="K207">
        <v>7</v>
      </c>
      <c r="L207" s="9">
        <f>Tablo1[[#This Row],[Toplam_Kar]]/Tablo1[[#This Row],[Toplam_Ciro]]</f>
        <v>0.36422440220723484</v>
      </c>
      <c r="M207" s="3">
        <f>Tablo1[[#This Row],[Birim_Fiyat]]-(Tablo1[[#This Row],[Toplam_Kar]]/Tablo1[[#This Row],[Urun_Adedi]])</f>
        <v>829.56</v>
      </c>
    </row>
    <row r="208" spans="1:13" x14ac:dyDescent="0.3">
      <c r="A208" t="s">
        <v>402</v>
      </c>
      <c r="B208" t="s">
        <v>164</v>
      </c>
      <c r="C208" t="s">
        <v>44</v>
      </c>
      <c r="D208" t="s">
        <v>28</v>
      </c>
      <c r="E208" t="s">
        <v>20</v>
      </c>
      <c r="F208">
        <v>8</v>
      </c>
      <c r="G208" s="3">
        <v>1933.03</v>
      </c>
      <c r="H208" s="3">
        <v>15464.24</v>
      </c>
      <c r="I208" s="3">
        <v>4370.78</v>
      </c>
      <c r="J208" t="s">
        <v>24</v>
      </c>
      <c r="K208">
        <v>6</v>
      </c>
      <c r="L208" s="9">
        <f>Tablo1[[#This Row],[Toplam_Kar]]/Tablo1[[#This Row],[Toplam_Ciro]]</f>
        <v>0.28263787939142176</v>
      </c>
      <c r="M208" s="3">
        <f>Tablo1[[#This Row],[Birim_Fiyat]]-(Tablo1[[#This Row],[Toplam_Kar]]/Tablo1[[#This Row],[Urun_Adedi]])</f>
        <v>1386.6824999999999</v>
      </c>
    </row>
    <row r="209" spans="1:13" x14ac:dyDescent="0.3">
      <c r="A209" t="s">
        <v>403</v>
      </c>
      <c r="B209" t="s">
        <v>404</v>
      </c>
      <c r="C209" t="s">
        <v>53</v>
      </c>
      <c r="D209" t="s">
        <v>58</v>
      </c>
      <c r="E209" t="s">
        <v>29</v>
      </c>
      <c r="F209">
        <v>7</v>
      </c>
      <c r="G209" s="3">
        <v>2116.11</v>
      </c>
      <c r="H209" s="3">
        <v>14812.77</v>
      </c>
      <c r="I209" s="3">
        <v>6606.88</v>
      </c>
      <c r="J209" t="s">
        <v>24</v>
      </c>
      <c r="K209">
        <v>2</v>
      </c>
      <c r="L209" s="9">
        <f>Tablo1[[#This Row],[Toplam_Kar]]/Tablo1[[#This Row],[Toplam_Ciro]]</f>
        <v>0.44602596273350631</v>
      </c>
      <c r="M209" s="3">
        <f>Tablo1[[#This Row],[Birim_Fiyat]]-(Tablo1[[#This Row],[Toplam_Kar]]/Tablo1[[#This Row],[Urun_Adedi]])</f>
        <v>1172.27</v>
      </c>
    </row>
    <row r="210" spans="1:13" x14ac:dyDescent="0.3">
      <c r="A210" t="s">
        <v>405</v>
      </c>
      <c r="B210" t="s">
        <v>406</v>
      </c>
      <c r="C210" t="s">
        <v>61</v>
      </c>
      <c r="D210" t="s">
        <v>40</v>
      </c>
      <c r="E210" t="s">
        <v>20</v>
      </c>
      <c r="F210">
        <v>4</v>
      </c>
      <c r="G210" s="3">
        <v>4476.5600000000004</v>
      </c>
      <c r="H210" s="3">
        <v>17906.240000000002</v>
      </c>
      <c r="I210" s="3">
        <v>6057.15</v>
      </c>
      <c r="J210" t="s">
        <v>24</v>
      </c>
      <c r="K210">
        <v>3</v>
      </c>
      <c r="L210" s="9">
        <f>Tablo1[[#This Row],[Toplam_Kar]]/Tablo1[[#This Row],[Toplam_Ciro]]</f>
        <v>0.33827034597994882</v>
      </c>
      <c r="M210" s="3">
        <f>Tablo1[[#This Row],[Birim_Fiyat]]-(Tablo1[[#This Row],[Toplam_Kar]]/Tablo1[[#This Row],[Urun_Adedi]])</f>
        <v>2962.2725000000005</v>
      </c>
    </row>
    <row r="211" spans="1:13" x14ac:dyDescent="0.3">
      <c r="A211" t="s">
        <v>407</v>
      </c>
      <c r="B211" t="s">
        <v>297</v>
      </c>
      <c r="C211" t="s">
        <v>39</v>
      </c>
      <c r="D211" t="s">
        <v>14</v>
      </c>
      <c r="E211" t="s">
        <v>29</v>
      </c>
      <c r="F211">
        <v>3</v>
      </c>
      <c r="G211" s="3">
        <v>4038.13</v>
      </c>
      <c r="H211" s="3">
        <v>12114.39</v>
      </c>
      <c r="I211" s="3">
        <v>3954.4</v>
      </c>
      <c r="J211" t="s">
        <v>36</v>
      </c>
      <c r="K211">
        <v>1</v>
      </c>
      <c r="L211" s="9">
        <f>Tablo1[[#This Row],[Toplam_Kar]]/Tablo1[[#This Row],[Toplam_Ciro]]</f>
        <v>0.32642171830360422</v>
      </c>
      <c r="M211" s="3">
        <f>Tablo1[[#This Row],[Birim_Fiyat]]-(Tablo1[[#This Row],[Toplam_Kar]]/Tablo1[[#This Row],[Urun_Adedi]])</f>
        <v>2719.9966666666669</v>
      </c>
    </row>
    <row r="212" spans="1:13" x14ac:dyDescent="0.3">
      <c r="A212" t="s">
        <v>408</v>
      </c>
      <c r="B212" t="s">
        <v>74</v>
      </c>
      <c r="C212" t="s">
        <v>19</v>
      </c>
      <c r="D212" t="s">
        <v>40</v>
      </c>
      <c r="E212" t="s">
        <v>15</v>
      </c>
      <c r="F212">
        <v>8</v>
      </c>
      <c r="G212" s="3">
        <v>3463.61</v>
      </c>
      <c r="H212" s="3">
        <v>27708.880000000001</v>
      </c>
      <c r="I212" s="3">
        <v>5971.93</v>
      </c>
      <c r="J212" t="s">
        <v>36</v>
      </c>
      <c r="K212">
        <v>7</v>
      </c>
      <c r="L212" s="9">
        <f>Tablo1[[#This Row],[Toplam_Kar]]/Tablo1[[#This Row],[Toplam_Ciro]]</f>
        <v>0.21552404860824401</v>
      </c>
      <c r="M212" s="3">
        <f>Tablo1[[#This Row],[Birim_Fiyat]]-(Tablo1[[#This Row],[Toplam_Kar]]/Tablo1[[#This Row],[Urun_Adedi]])</f>
        <v>2717.1187500000001</v>
      </c>
    </row>
    <row r="213" spans="1:13" x14ac:dyDescent="0.3">
      <c r="A213" t="s">
        <v>409</v>
      </c>
      <c r="B213" t="s">
        <v>63</v>
      </c>
      <c r="C213" t="s">
        <v>27</v>
      </c>
      <c r="D213" t="s">
        <v>40</v>
      </c>
      <c r="E213" t="s">
        <v>15</v>
      </c>
      <c r="F213">
        <v>3</v>
      </c>
      <c r="G213" s="3">
        <v>3502.82</v>
      </c>
      <c r="H213" s="3">
        <v>10508.46</v>
      </c>
      <c r="I213" s="3">
        <v>4640.7299999999996</v>
      </c>
      <c r="J213" t="s">
        <v>36</v>
      </c>
      <c r="K213">
        <v>6</v>
      </c>
      <c r="L213" s="9">
        <f>Tablo1[[#This Row],[Toplam_Kar]]/Tablo1[[#This Row],[Toplam_Ciro]]</f>
        <v>0.44161846740626126</v>
      </c>
      <c r="M213" s="3">
        <f>Tablo1[[#This Row],[Birim_Fiyat]]-(Tablo1[[#This Row],[Toplam_Kar]]/Tablo1[[#This Row],[Urun_Adedi]])</f>
        <v>1955.9100000000003</v>
      </c>
    </row>
    <row r="214" spans="1:13" x14ac:dyDescent="0.3">
      <c r="A214" t="s">
        <v>410</v>
      </c>
      <c r="B214" t="s">
        <v>126</v>
      </c>
      <c r="C214" t="s">
        <v>19</v>
      </c>
      <c r="D214" t="s">
        <v>23</v>
      </c>
      <c r="E214" t="s">
        <v>29</v>
      </c>
      <c r="F214">
        <v>4</v>
      </c>
      <c r="G214" s="3">
        <v>1825.27</v>
      </c>
      <c r="H214" s="3">
        <v>7301.08</v>
      </c>
      <c r="I214" s="3">
        <v>1409.92</v>
      </c>
      <c r="J214" t="s">
        <v>16</v>
      </c>
      <c r="K214">
        <v>2</v>
      </c>
      <c r="L214" s="9">
        <f>Tablo1[[#This Row],[Toplam_Kar]]/Tablo1[[#This Row],[Toplam_Ciro]]</f>
        <v>0.19311115615771915</v>
      </c>
      <c r="M214" s="3">
        <f>Tablo1[[#This Row],[Birim_Fiyat]]-(Tablo1[[#This Row],[Toplam_Kar]]/Tablo1[[#This Row],[Urun_Adedi]])</f>
        <v>1472.79</v>
      </c>
    </row>
    <row r="215" spans="1:13" x14ac:dyDescent="0.3">
      <c r="A215" t="s">
        <v>411</v>
      </c>
      <c r="B215" t="s">
        <v>412</v>
      </c>
      <c r="C215" t="s">
        <v>44</v>
      </c>
      <c r="D215" t="s">
        <v>40</v>
      </c>
      <c r="E215" t="s">
        <v>20</v>
      </c>
      <c r="F215">
        <v>4</v>
      </c>
      <c r="G215" s="3">
        <v>4675.53</v>
      </c>
      <c r="H215" s="3">
        <v>18702.12</v>
      </c>
      <c r="I215" s="3">
        <v>3973.98</v>
      </c>
      <c r="J215" t="s">
        <v>36</v>
      </c>
      <c r="K215">
        <v>3</v>
      </c>
      <c r="L215" s="9">
        <f>Tablo1[[#This Row],[Toplam_Kar]]/Tablo1[[#This Row],[Toplam_Ciro]]</f>
        <v>0.21248820989278222</v>
      </c>
      <c r="M215" s="3">
        <f>Tablo1[[#This Row],[Birim_Fiyat]]-(Tablo1[[#This Row],[Toplam_Kar]]/Tablo1[[#This Row],[Urun_Adedi]])</f>
        <v>3682.0349999999999</v>
      </c>
    </row>
    <row r="216" spans="1:13" x14ac:dyDescent="0.3">
      <c r="A216" t="s">
        <v>413</v>
      </c>
      <c r="B216" t="s">
        <v>414</v>
      </c>
      <c r="C216" t="s">
        <v>53</v>
      </c>
      <c r="D216" t="s">
        <v>40</v>
      </c>
      <c r="E216" t="s">
        <v>35</v>
      </c>
      <c r="F216">
        <v>5</v>
      </c>
      <c r="G216" s="3">
        <v>4277.0600000000004</v>
      </c>
      <c r="H216" s="3">
        <v>21385.3</v>
      </c>
      <c r="I216" s="3">
        <v>2813.34</v>
      </c>
      <c r="J216" t="s">
        <v>24</v>
      </c>
      <c r="K216">
        <v>2</v>
      </c>
      <c r="L216" s="9">
        <f>Tablo1[[#This Row],[Toplam_Kar]]/Tablo1[[#This Row],[Toplam_Ciro]]</f>
        <v>0.13155485310002665</v>
      </c>
      <c r="M216" s="3">
        <f>Tablo1[[#This Row],[Birim_Fiyat]]-(Tablo1[[#This Row],[Toplam_Kar]]/Tablo1[[#This Row],[Urun_Adedi]])</f>
        <v>3714.3920000000003</v>
      </c>
    </row>
    <row r="217" spans="1:13" x14ac:dyDescent="0.3">
      <c r="A217" t="s">
        <v>415</v>
      </c>
      <c r="B217" t="s">
        <v>251</v>
      </c>
      <c r="C217" t="s">
        <v>39</v>
      </c>
      <c r="D217" t="s">
        <v>28</v>
      </c>
      <c r="E217" t="s">
        <v>35</v>
      </c>
      <c r="F217">
        <v>5</v>
      </c>
      <c r="G217" s="3">
        <v>3753.82</v>
      </c>
      <c r="H217" s="3">
        <v>18769.099999999999</v>
      </c>
      <c r="I217" s="4">
        <v>2850.23</v>
      </c>
      <c r="J217" t="s">
        <v>24</v>
      </c>
      <c r="K217">
        <v>4</v>
      </c>
      <c r="L217" s="9">
        <f>Tablo1[[#This Row],[Toplam_Kar]]/Tablo1[[#This Row],[Toplam_Ciro]]</f>
        <v>0.1518575744175267</v>
      </c>
      <c r="M217" s="3">
        <f>Tablo1[[#This Row],[Birim_Fiyat]]-(Tablo1[[#This Row],[Toplam_Kar]]/Tablo1[[#This Row],[Urun_Adedi]])</f>
        <v>3183.7740000000003</v>
      </c>
    </row>
    <row r="218" spans="1:13" x14ac:dyDescent="0.3">
      <c r="A218" t="s">
        <v>416</v>
      </c>
      <c r="B218" t="s">
        <v>417</v>
      </c>
      <c r="C218" t="s">
        <v>70</v>
      </c>
      <c r="D218" t="s">
        <v>58</v>
      </c>
      <c r="E218" t="s">
        <v>20</v>
      </c>
      <c r="F218">
        <v>8</v>
      </c>
      <c r="G218" s="3">
        <v>2617.98</v>
      </c>
      <c r="H218" s="3">
        <v>20943.84</v>
      </c>
      <c r="I218" s="3">
        <v>8583.11</v>
      </c>
      <c r="J218" t="s">
        <v>16</v>
      </c>
      <c r="K218">
        <v>7</v>
      </c>
      <c r="L218" s="9">
        <f>Tablo1[[#This Row],[Toplam_Kar]]/Tablo1[[#This Row],[Toplam_Ciro]]</f>
        <v>0.40981548751327362</v>
      </c>
      <c r="M218" s="3">
        <f>Tablo1[[#This Row],[Birim_Fiyat]]-(Tablo1[[#This Row],[Toplam_Kar]]/Tablo1[[#This Row],[Urun_Adedi]])</f>
        <v>1545.0912499999999</v>
      </c>
    </row>
    <row r="219" spans="1:13" x14ac:dyDescent="0.3">
      <c r="A219" t="s">
        <v>418</v>
      </c>
      <c r="B219" t="s">
        <v>419</v>
      </c>
      <c r="C219" t="s">
        <v>32</v>
      </c>
      <c r="D219" t="s">
        <v>14</v>
      </c>
      <c r="E219" t="s">
        <v>29</v>
      </c>
      <c r="F219">
        <v>3</v>
      </c>
      <c r="G219" s="3">
        <v>266.91000000000003</v>
      </c>
      <c r="H219" s="3">
        <v>800.73</v>
      </c>
      <c r="I219" s="3">
        <v>246.67</v>
      </c>
      <c r="J219" t="s">
        <v>16</v>
      </c>
      <c r="K219">
        <v>7</v>
      </c>
      <c r="L219" s="9">
        <f>Tablo1[[#This Row],[Toplam_Kar]]/Tablo1[[#This Row],[Toplam_Ciro]]</f>
        <v>0.3080563985363356</v>
      </c>
      <c r="M219" s="3">
        <f>Tablo1[[#This Row],[Birim_Fiyat]]-(Tablo1[[#This Row],[Toplam_Kar]]/Tablo1[[#This Row],[Urun_Adedi]])</f>
        <v>184.6866666666667</v>
      </c>
    </row>
    <row r="220" spans="1:13" x14ac:dyDescent="0.3">
      <c r="A220" t="s">
        <v>420</v>
      </c>
      <c r="B220" t="s">
        <v>421</v>
      </c>
      <c r="C220" t="s">
        <v>39</v>
      </c>
      <c r="D220" t="s">
        <v>40</v>
      </c>
      <c r="E220" t="s">
        <v>29</v>
      </c>
      <c r="F220">
        <v>8</v>
      </c>
      <c r="G220" s="3">
        <v>3527.56</v>
      </c>
      <c r="H220" s="3">
        <v>28220.48</v>
      </c>
      <c r="I220" s="3">
        <v>8003.24</v>
      </c>
      <c r="J220" t="s">
        <v>24</v>
      </c>
      <c r="K220">
        <v>7</v>
      </c>
      <c r="L220" s="9">
        <f>Tablo1[[#This Row],[Toplam_Kar]]/Tablo1[[#This Row],[Toplam_Ciro]]</f>
        <v>0.28359687716155074</v>
      </c>
      <c r="M220" s="3">
        <f>Tablo1[[#This Row],[Birim_Fiyat]]-(Tablo1[[#This Row],[Toplam_Kar]]/Tablo1[[#This Row],[Urun_Adedi]])</f>
        <v>2527.1549999999997</v>
      </c>
    </row>
    <row r="221" spans="1:13" x14ac:dyDescent="0.3">
      <c r="A221" t="s">
        <v>422</v>
      </c>
      <c r="B221" t="s">
        <v>309</v>
      </c>
      <c r="C221" t="s">
        <v>70</v>
      </c>
      <c r="D221" t="s">
        <v>58</v>
      </c>
      <c r="E221" t="s">
        <v>35</v>
      </c>
      <c r="F221">
        <v>1</v>
      </c>
      <c r="G221" s="3">
        <v>3532.11</v>
      </c>
      <c r="H221" s="3">
        <v>3532.11</v>
      </c>
      <c r="I221" s="3">
        <v>744.63</v>
      </c>
      <c r="J221" t="s">
        <v>24</v>
      </c>
      <c r="K221">
        <v>4</v>
      </c>
      <c r="L221" s="9">
        <f>Tablo1[[#This Row],[Toplam_Kar]]/Tablo1[[#This Row],[Toplam_Ciro]]</f>
        <v>0.21081733015109946</v>
      </c>
      <c r="M221" s="3">
        <f>Tablo1[[#This Row],[Birim_Fiyat]]-(Tablo1[[#This Row],[Toplam_Kar]]/Tablo1[[#This Row],[Urun_Adedi]])</f>
        <v>2787.48</v>
      </c>
    </row>
    <row r="222" spans="1:13" x14ac:dyDescent="0.3">
      <c r="A222" t="s">
        <v>423</v>
      </c>
      <c r="B222" t="s">
        <v>424</v>
      </c>
      <c r="C222" t="s">
        <v>27</v>
      </c>
      <c r="D222" t="s">
        <v>58</v>
      </c>
      <c r="E222" t="s">
        <v>29</v>
      </c>
      <c r="F222">
        <v>3</v>
      </c>
      <c r="G222" s="3">
        <v>900.42</v>
      </c>
      <c r="H222" s="3">
        <v>2701.26</v>
      </c>
      <c r="I222" s="3">
        <v>973.8</v>
      </c>
      <c r="J222" t="s">
        <v>36</v>
      </c>
      <c r="K222">
        <v>2</v>
      </c>
      <c r="L222" s="9">
        <f>Tablo1[[#This Row],[Toplam_Kar]]/Tablo1[[#This Row],[Toplam_Ciro]]</f>
        <v>0.36049843406410337</v>
      </c>
      <c r="M222" s="3">
        <f>Tablo1[[#This Row],[Birim_Fiyat]]-(Tablo1[[#This Row],[Toplam_Kar]]/Tablo1[[#This Row],[Urun_Adedi]])</f>
        <v>575.81999999999994</v>
      </c>
    </row>
    <row r="223" spans="1:13" x14ac:dyDescent="0.3">
      <c r="A223" t="s">
        <v>425</v>
      </c>
      <c r="B223" t="s">
        <v>426</v>
      </c>
      <c r="C223" t="s">
        <v>13</v>
      </c>
      <c r="D223" t="s">
        <v>40</v>
      </c>
      <c r="E223" t="s">
        <v>35</v>
      </c>
      <c r="F223">
        <v>4</v>
      </c>
      <c r="G223" s="3">
        <v>2339.61</v>
      </c>
      <c r="H223" s="3">
        <v>9358.44</v>
      </c>
      <c r="I223" s="3">
        <v>1599.14</v>
      </c>
      <c r="J223" t="s">
        <v>16</v>
      </c>
      <c r="K223">
        <v>4</v>
      </c>
      <c r="L223" s="9">
        <f>Tablo1[[#This Row],[Toplam_Kar]]/Tablo1[[#This Row],[Toplam_Ciro]]</f>
        <v>0.17087677005996726</v>
      </c>
      <c r="M223" s="3">
        <f>Tablo1[[#This Row],[Birim_Fiyat]]-(Tablo1[[#This Row],[Toplam_Kar]]/Tablo1[[#This Row],[Urun_Adedi]])</f>
        <v>1939.825</v>
      </c>
    </row>
    <row r="224" spans="1:13" x14ac:dyDescent="0.3">
      <c r="A224" t="s">
        <v>427</v>
      </c>
      <c r="B224" t="s">
        <v>381</v>
      </c>
      <c r="C224" t="s">
        <v>27</v>
      </c>
      <c r="D224" t="s">
        <v>28</v>
      </c>
      <c r="E224" t="s">
        <v>20</v>
      </c>
      <c r="F224">
        <v>3</v>
      </c>
      <c r="G224" s="3">
        <v>2048.8000000000002</v>
      </c>
      <c r="H224" s="3">
        <v>6146.4</v>
      </c>
      <c r="I224" s="3">
        <v>942.87</v>
      </c>
      <c r="J224" t="s">
        <v>36</v>
      </c>
      <c r="K224">
        <v>5</v>
      </c>
      <c r="L224" s="9">
        <f>Tablo1[[#This Row],[Toplam_Kar]]/Tablo1[[#This Row],[Toplam_Ciro]]</f>
        <v>0.15340199140960564</v>
      </c>
      <c r="M224" s="3">
        <f>Tablo1[[#This Row],[Birim_Fiyat]]-(Tablo1[[#This Row],[Toplam_Kar]]/Tablo1[[#This Row],[Urun_Adedi]])</f>
        <v>1734.5100000000002</v>
      </c>
    </row>
    <row r="225" spans="1:13" x14ac:dyDescent="0.3">
      <c r="A225" t="s">
        <v>428</v>
      </c>
      <c r="B225" t="s">
        <v>113</v>
      </c>
      <c r="C225" t="s">
        <v>39</v>
      </c>
      <c r="D225" t="s">
        <v>14</v>
      </c>
      <c r="E225" t="s">
        <v>29</v>
      </c>
      <c r="F225">
        <v>6</v>
      </c>
      <c r="G225" s="3">
        <v>4550.42</v>
      </c>
      <c r="H225" s="3">
        <v>27302.52</v>
      </c>
      <c r="I225" s="3">
        <v>6478.2</v>
      </c>
      <c r="J225" t="s">
        <v>36</v>
      </c>
      <c r="K225">
        <v>1</v>
      </c>
      <c r="L225" s="9">
        <f>Tablo1[[#This Row],[Toplam_Kar]]/Tablo1[[#This Row],[Toplam_Ciro]]</f>
        <v>0.23727480100737952</v>
      </c>
      <c r="M225" s="3">
        <f>Tablo1[[#This Row],[Birim_Fiyat]]-(Tablo1[[#This Row],[Toplam_Kar]]/Tablo1[[#This Row],[Urun_Adedi]])</f>
        <v>3470.7200000000003</v>
      </c>
    </row>
    <row r="226" spans="1:13" x14ac:dyDescent="0.3">
      <c r="A226" t="s">
        <v>429</v>
      </c>
      <c r="B226" t="s">
        <v>102</v>
      </c>
      <c r="C226" t="s">
        <v>44</v>
      </c>
      <c r="D226" t="s">
        <v>40</v>
      </c>
      <c r="E226" t="s">
        <v>29</v>
      </c>
      <c r="F226">
        <v>2</v>
      </c>
      <c r="G226" s="3">
        <v>3263.3</v>
      </c>
      <c r="H226" s="3">
        <v>6526.6</v>
      </c>
      <c r="I226" s="3">
        <v>1926.5</v>
      </c>
      <c r="J226" t="s">
        <v>36</v>
      </c>
      <c r="K226">
        <v>2</v>
      </c>
      <c r="L226" s="9">
        <f>Tablo1[[#This Row],[Toplam_Kar]]/Tablo1[[#This Row],[Toplam_Ciro]]</f>
        <v>0.2951766616615083</v>
      </c>
      <c r="M226" s="3">
        <f>Tablo1[[#This Row],[Birim_Fiyat]]-(Tablo1[[#This Row],[Toplam_Kar]]/Tablo1[[#This Row],[Urun_Adedi]])</f>
        <v>2300.0500000000002</v>
      </c>
    </row>
    <row r="227" spans="1:13" x14ac:dyDescent="0.3">
      <c r="A227" t="s">
        <v>430</v>
      </c>
      <c r="B227" t="s">
        <v>431</v>
      </c>
      <c r="C227" t="s">
        <v>61</v>
      </c>
      <c r="D227" t="s">
        <v>58</v>
      </c>
      <c r="E227" t="s">
        <v>35</v>
      </c>
      <c r="F227">
        <v>5</v>
      </c>
      <c r="G227" s="3">
        <v>4696.99</v>
      </c>
      <c r="H227" s="3">
        <v>23484.95</v>
      </c>
      <c r="I227" s="3">
        <v>7966.29</v>
      </c>
      <c r="J227" t="s">
        <v>36</v>
      </c>
      <c r="K227">
        <v>5</v>
      </c>
      <c r="L227" s="9">
        <f>Tablo1[[#This Row],[Toplam_Kar]]/Tablo1[[#This Row],[Toplam_Ciro]]</f>
        <v>0.33920830148669678</v>
      </c>
      <c r="M227" s="3">
        <f>Tablo1[[#This Row],[Birim_Fiyat]]-(Tablo1[[#This Row],[Toplam_Kar]]/Tablo1[[#This Row],[Urun_Adedi]])</f>
        <v>3103.732</v>
      </c>
    </row>
    <row r="228" spans="1:13" x14ac:dyDescent="0.3">
      <c r="A228" t="s">
        <v>432</v>
      </c>
      <c r="B228" t="s">
        <v>433</v>
      </c>
      <c r="C228" t="s">
        <v>27</v>
      </c>
      <c r="D228" t="s">
        <v>58</v>
      </c>
      <c r="E228" t="s">
        <v>20</v>
      </c>
      <c r="F228">
        <v>3</v>
      </c>
      <c r="G228" s="3">
        <v>622.34</v>
      </c>
      <c r="H228" s="3">
        <v>1867.02</v>
      </c>
      <c r="I228" s="3">
        <v>327.72</v>
      </c>
      <c r="J228" t="s">
        <v>16</v>
      </c>
      <c r="K228">
        <v>5</v>
      </c>
      <c r="L228" s="9">
        <f>Tablo1[[#This Row],[Toplam_Kar]]/Tablo1[[#This Row],[Toplam_Ciro]]</f>
        <v>0.17553106019217793</v>
      </c>
      <c r="M228" s="3">
        <f>Tablo1[[#This Row],[Birim_Fiyat]]-(Tablo1[[#This Row],[Toplam_Kar]]/Tablo1[[#This Row],[Urun_Adedi]])</f>
        <v>513.1</v>
      </c>
    </row>
    <row r="229" spans="1:13" x14ac:dyDescent="0.3">
      <c r="A229" t="s">
        <v>434</v>
      </c>
      <c r="B229" t="s">
        <v>348</v>
      </c>
      <c r="C229" t="s">
        <v>39</v>
      </c>
      <c r="D229" t="s">
        <v>23</v>
      </c>
      <c r="E229" t="s">
        <v>29</v>
      </c>
      <c r="F229">
        <v>5</v>
      </c>
      <c r="G229" s="3">
        <v>4711.6899999999996</v>
      </c>
      <c r="H229" s="3">
        <v>23558.45</v>
      </c>
      <c r="I229" s="3">
        <v>4568.6099999999997</v>
      </c>
      <c r="J229" t="s">
        <v>36</v>
      </c>
      <c r="K229">
        <v>2</v>
      </c>
      <c r="L229" s="9">
        <f>Tablo1[[#This Row],[Toplam_Kar]]/Tablo1[[#This Row],[Toplam_Ciro]]</f>
        <v>0.19392659534052537</v>
      </c>
      <c r="M229" s="3">
        <f>Tablo1[[#This Row],[Birim_Fiyat]]-(Tablo1[[#This Row],[Toplam_Kar]]/Tablo1[[#This Row],[Urun_Adedi]])</f>
        <v>3797.9679999999998</v>
      </c>
    </row>
    <row r="230" spans="1:13" x14ac:dyDescent="0.3">
      <c r="A230" t="s">
        <v>435</v>
      </c>
      <c r="B230" t="s">
        <v>248</v>
      </c>
      <c r="C230" t="s">
        <v>53</v>
      </c>
      <c r="D230" t="s">
        <v>23</v>
      </c>
      <c r="E230" t="s">
        <v>29</v>
      </c>
      <c r="F230">
        <v>7</v>
      </c>
      <c r="G230" s="3">
        <v>3574.86</v>
      </c>
      <c r="H230" s="3">
        <v>25024.02</v>
      </c>
      <c r="I230" s="3">
        <v>8144.54</v>
      </c>
      <c r="J230" t="s">
        <v>36</v>
      </c>
      <c r="K230">
        <v>2</v>
      </c>
      <c r="L230" s="9">
        <f>Tablo1[[#This Row],[Toplam_Kar]]/Tablo1[[#This Row],[Toplam_Ciro]]</f>
        <v>0.32546888949097708</v>
      </c>
      <c r="M230" s="3">
        <f>Tablo1[[#This Row],[Birim_Fiyat]]-(Tablo1[[#This Row],[Toplam_Kar]]/Tablo1[[#This Row],[Urun_Adedi]])</f>
        <v>2411.3542857142857</v>
      </c>
    </row>
    <row r="231" spans="1:13" x14ac:dyDescent="0.3">
      <c r="A231" t="s">
        <v>436</v>
      </c>
      <c r="B231" t="s">
        <v>437</v>
      </c>
      <c r="C231" t="s">
        <v>19</v>
      </c>
      <c r="D231" t="s">
        <v>23</v>
      </c>
      <c r="E231" t="s">
        <v>35</v>
      </c>
      <c r="F231">
        <v>5</v>
      </c>
      <c r="G231" s="3">
        <v>2393.58</v>
      </c>
      <c r="H231" s="3">
        <v>11967.9</v>
      </c>
      <c r="I231" s="3">
        <v>3694.46</v>
      </c>
      <c r="J231" t="s">
        <v>24</v>
      </c>
      <c r="K231">
        <v>7</v>
      </c>
      <c r="L231" s="9">
        <f>Tablo1[[#This Row],[Toplam_Kar]]/Tablo1[[#This Row],[Toplam_Ciro]]</f>
        <v>0.30869743229806401</v>
      </c>
      <c r="M231" s="3">
        <f>Tablo1[[#This Row],[Birim_Fiyat]]-(Tablo1[[#This Row],[Toplam_Kar]]/Tablo1[[#This Row],[Urun_Adedi]])</f>
        <v>1654.6879999999999</v>
      </c>
    </row>
    <row r="232" spans="1:13" x14ac:dyDescent="0.3">
      <c r="A232" t="s">
        <v>438</v>
      </c>
      <c r="B232" t="s">
        <v>205</v>
      </c>
      <c r="C232" t="s">
        <v>114</v>
      </c>
      <c r="D232" t="s">
        <v>40</v>
      </c>
      <c r="E232" t="s">
        <v>15</v>
      </c>
      <c r="F232">
        <v>6</v>
      </c>
      <c r="G232" s="3">
        <v>3345.48</v>
      </c>
      <c r="H232" s="3">
        <v>20072.88</v>
      </c>
      <c r="I232" s="3">
        <v>4411.21</v>
      </c>
      <c r="J232" t="s">
        <v>16</v>
      </c>
      <c r="K232">
        <v>4</v>
      </c>
      <c r="L232" s="9">
        <f>Tablo1[[#This Row],[Toplam_Kar]]/Tablo1[[#This Row],[Toplam_Ciro]]</f>
        <v>0.21975969566898221</v>
      </c>
      <c r="M232" s="3">
        <f>Tablo1[[#This Row],[Birim_Fiyat]]-(Tablo1[[#This Row],[Toplam_Kar]]/Tablo1[[#This Row],[Urun_Adedi]])</f>
        <v>2610.2783333333332</v>
      </c>
    </row>
    <row r="233" spans="1:13" x14ac:dyDescent="0.3">
      <c r="A233" t="s">
        <v>439</v>
      </c>
      <c r="B233" t="s">
        <v>440</v>
      </c>
      <c r="C233" t="s">
        <v>27</v>
      </c>
      <c r="D233" t="s">
        <v>58</v>
      </c>
      <c r="E233" t="s">
        <v>15</v>
      </c>
      <c r="F233">
        <v>4</v>
      </c>
      <c r="G233" s="3">
        <v>2005.05</v>
      </c>
      <c r="H233" s="3">
        <v>8020.2</v>
      </c>
      <c r="I233" s="3">
        <v>2560.38</v>
      </c>
      <c r="J233" t="s">
        <v>16</v>
      </c>
      <c r="K233">
        <v>1</v>
      </c>
      <c r="L233" s="9">
        <f>Tablo1[[#This Row],[Toplam_Kar]]/Tablo1[[#This Row],[Toplam_Ciro]]</f>
        <v>0.31924141542604922</v>
      </c>
      <c r="M233" s="3">
        <f>Tablo1[[#This Row],[Birim_Fiyat]]-(Tablo1[[#This Row],[Toplam_Kar]]/Tablo1[[#This Row],[Urun_Adedi]])</f>
        <v>1364.9549999999999</v>
      </c>
    </row>
    <row r="234" spans="1:13" x14ac:dyDescent="0.3">
      <c r="A234" t="s">
        <v>441</v>
      </c>
      <c r="B234" t="s">
        <v>442</v>
      </c>
      <c r="C234" t="s">
        <v>44</v>
      </c>
      <c r="D234" t="s">
        <v>28</v>
      </c>
      <c r="E234" t="s">
        <v>35</v>
      </c>
      <c r="F234">
        <v>8</v>
      </c>
      <c r="G234" s="3">
        <v>4215.6099999999997</v>
      </c>
      <c r="H234" s="3">
        <v>33724.879999999997</v>
      </c>
      <c r="I234" s="3">
        <v>8637.94</v>
      </c>
      <c r="J234" t="s">
        <v>16</v>
      </c>
      <c r="K234">
        <v>3</v>
      </c>
      <c r="L234" s="9">
        <f>Tablo1[[#This Row],[Toplam_Kar]]/Tablo1[[#This Row],[Toplam_Ciro]]</f>
        <v>0.25612959927507528</v>
      </c>
      <c r="M234" s="3">
        <f>Tablo1[[#This Row],[Birim_Fiyat]]-(Tablo1[[#This Row],[Toplam_Kar]]/Tablo1[[#This Row],[Urun_Adedi]])</f>
        <v>3135.8674999999994</v>
      </c>
    </row>
    <row r="235" spans="1:13" x14ac:dyDescent="0.3">
      <c r="A235" t="s">
        <v>443</v>
      </c>
      <c r="B235" t="s">
        <v>444</v>
      </c>
      <c r="C235" t="s">
        <v>70</v>
      </c>
      <c r="D235" t="s">
        <v>40</v>
      </c>
      <c r="E235" t="s">
        <v>35</v>
      </c>
      <c r="F235">
        <v>5</v>
      </c>
      <c r="G235" s="3">
        <v>3015.34</v>
      </c>
      <c r="H235" s="3">
        <v>15076.7</v>
      </c>
      <c r="I235" s="3">
        <v>4305.6499999999996</v>
      </c>
      <c r="J235" t="s">
        <v>24</v>
      </c>
      <c r="K235">
        <v>3</v>
      </c>
      <c r="L235" s="9">
        <f>Tablo1[[#This Row],[Toplam_Kar]]/Tablo1[[#This Row],[Toplam_Ciro]]</f>
        <v>0.28558305199413658</v>
      </c>
      <c r="M235" s="3">
        <f>Tablo1[[#This Row],[Birim_Fiyat]]-(Tablo1[[#This Row],[Toplam_Kar]]/Tablo1[[#This Row],[Urun_Adedi]])</f>
        <v>2154.21</v>
      </c>
    </row>
    <row r="236" spans="1:13" x14ac:dyDescent="0.3">
      <c r="A236" t="s">
        <v>445</v>
      </c>
      <c r="B236" t="s">
        <v>88</v>
      </c>
      <c r="C236" t="s">
        <v>32</v>
      </c>
      <c r="D236" t="s">
        <v>23</v>
      </c>
      <c r="E236" t="s">
        <v>20</v>
      </c>
      <c r="F236">
        <v>3</v>
      </c>
      <c r="G236" s="3">
        <v>4287.96</v>
      </c>
      <c r="H236" s="3">
        <v>12863.88</v>
      </c>
      <c r="I236" s="3">
        <v>2943.19</v>
      </c>
      <c r="J236" t="s">
        <v>16</v>
      </c>
      <c r="K236">
        <v>5</v>
      </c>
      <c r="L236" s="9">
        <f>Tablo1[[#This Row],[Toplam_Kar]]/Tablo1[[#This Row],[Toplam_Ciro]]</f>
        <v>0.22879488925580777</v>
      </c>
      <c r="M236" s="3">
        <f>Tablo1[[#This Row],[Birim_Fiyat]]-(Tablo1[[#This Row],[Toplam_Kar]]/Tablo1[[#This Row],[Urun_Adedi]])</f>
        <v>3306.8966666666665</v>
      </c>
    </row>
    <row r="237" spans="1:13" x14ac:dyDescent="0.3">
      <c r="A237" t="s">
        <v>446</v>
      </c>
      <c r="B237" t="s">
        <v>215</v>
      </c>
      <c r="C237" t="s">
        <v>39</v>
      </c>
      <c r="D237" t="s">
        <v>40</v>
      </c>
      <c r="E237" t="s">
        <v>35</v>
      </c>
      <c r="F237">
        <v>1</v>
      </c>
      <c r="G237" s="3">
        <v>219.16</v>
      </c>
      <c r="H237" s="3">
        <v>219.16</v>
      </c>
      <c r="I237" s="3">
        <v>60.81</v>
      </c>
      <c r="J237" t="s">
        <v>36</v>
      </c>
      <c r="K237">
        <v>7</v>
      </c>
      <c r="L237" s="9">
        <f>Tablo1[[#This Row],[Toplam_Kar]]/Tablo1[[#This Row],[Toplam_Ciro]]</f>
        <v>0.27746851615258261</v>
      </c>
      <c r="M237" s="3">
        <f>Tablo1[[#This Row],[Birim_Fiyat]]-(Tablo1[[#This Row],[Toplam_Kar]]/Tablo1[[#This Row],[Urun_Adedi]])</f>
        <v>158.35</v>
      </c>
    </row>
    <row r="238" spans="1:13" x14ac:dyDescent="0.3">
      <c r="A238" t="s">
        <v>447</v>
      </c>
      <c r="B238" t="s">
        <v>170</v>
      </c>
      <c r="C238" t="s">
        <v>61</v>
      </c>
      <c r="D238" t="s">
        <v>14</v>
      </c>
      <c r="E238" t="s">
        <v>20</v>
      </c>
      <c r="F238">
        <v>8</v>
      </c>
      <c r="G238" s="3">
        <v>4175.7700000000004</v>
      </c>
      <c r="H238" s="3">
        <v>33406.160000000003</v>
      </c>
      <c r="I238" s="3">
        <v>5813.44</v>
      </c>
      <c r="J238" t="s">
        <v>16</v>
      </c>
      <c r="K238">
        <v>4</v>
      </c>
      <c r="L238" s="9">
        <f>Tablo1[[#This Row],[Toplam_Kar]]/Tablo1[[#This Row],[Toplam_Ciro]]</f>
        <v>0.17402299456148204</v>
      </c>
      <c r="M238" s="3">
        <f>Tablo1[[#This Row],[Birim_Fiyat]]-(Tablo1[[#This Row],[Toplam_Kar]]/Tablo1[[#This Row],[Urun_Adedi]])</f>
        <v>3449.0900000000006</v>
      </c>
    </row>
    <row r="239" spans="1:13" x14ac:dyDescent="0.3">
      <c r="A239" t="s">
        <v>448</v>
      </c>
      <c r="B239" t="s">
        <v>449</v>
      </c>
      <c r="C239" t="s">
        <v>44</v>
      </c>
      <c r="D239" t="s">
        <v>58</v>
      </c>
      <c r="E239" t="s">
        <v>20</v>
      </c>
      <c r="F239">
        <v>3</v>
      </c>
      <c r="G239" s="3">
        <v>3178.05</v>
      </c>
      <c r="H239" s="3">
        <v>9534.15</v>
      </c>
      <c r="I239" s="3">
        <v>1693.45</v>
      </c>
      <c r="J239" t="s">
        <v>36</v>
      </c>
      <c r="K239">
        <v>5</v>
      </c>
      <c r="L239" s="9">
        <f>Tablo1[[#This Row],[Toplam_Kar]]/Tablo1[[#This Row],[Toplam_Ciro]]</f>
        <v>0.17761939973673585</v>
      </c>
      <c r="M239" s="3">
        <f>Tablo1[[#This Row],[Birim_Fiyat]]-(Tablo1[[#This Row],[Toplam_Kar]]/Tablo1[[#This Row],[Urun_Adedi]])</f>
        <v>2613.5666666666666</v>
      </c>
    </row>
    <row r="240" spans="1:13" x14ac:dyDescent="0.3">
      <c r="A240" t="s">
        <v>450</v>
      </c>
      <c r="B240" t="s">
        <v>94</v>
      </c>
      <c r="C240" t="s">
        <v>70</v>
      </c>
      <c r="D240" t="s">
        <v>28</v>
      </c>
      <c r="E240" t="s">
        <v>15</v>
      </c>
      <c r="F240">
        <v>7</v>
      </c>
      <c r="G240" s="3">
        <v>4093.7</v>
      </c>
      <c r="H240" s="3">
        <v>28655.9</v>
      </c>
      <c r="I240" s="3">
        <v>9925.39</v>
      </c>
      <c r="J240" t="s">
        <v>24</v>
      </c>
      <c r="K240">
        <v>5</v>
      </c>
      <c r="L240" s="9">
        <f>Tablo1[[#This Row],[Toplam_Kar]]/Tablo1[[#This Row],[Toplam_Ciro]]</f>
        <v>0.34636462299212373</v>
      </c>
      <c r="M240" s="3">
        <f>Tablo1[[#This Row],[Birim_Fiyat]]-(Tablo1[[#This Row],[Toplam_Kar]]/Tablo1[[#This Row],[Urun_Adedi]])</f>
        <v>2675.7871428571425</v>
      </c>
    </row>
    <row r="241" spans="1:13" x14ac:dyDescent="0.3">
      <c r="A241" t="s">
        <v>451</v>
      </c>
      <c r="B241" t="s">
        <v>452</v>
      </c>
      <c r="C241" t="s">
        <v>27</v>
      </c>
      <c r="D241" t="s">
        <v>28</v>
      </c>
      <c r="E241" t="s">
        <v>20</v>
      </c>
      <c r="F241">
        <v>2</v>
      </c>
      <c r="G241" s="3">
        <v>547.75</v>
      </c>
      <c r="H241" s="3">
        <v>1095.5</v>
      </c>
      <c r="I241" s="3">
        <v>262.08999999999997</v>
      </c>
      <c r="J241" t="s">
        <v>36</v>
      </c>
      <c r="K241">
        <v>4</v>
      </c>
      <c r="L241" s="9">
        <f>Tablo1[[#This Row],[Toplam_Kar]]/Tablo1[[#This Row],[Toplam_Ciro]]</f>
        <v>0.23924235508900044</v>
      </c>
      <c r="M241" s="3">
        <f>Tablo1[[#This Row],[Birim_Fiyat]]-(Tablo1[[#This Row],[Toplam_Kar]]/Tablo1[[#This Row],[Urun_Adedi]])</f>
        <v>416.70500000000004</v>
      </c>
    </row>
    <row r="242" spans="1:13" x14ac:dyDescent="0.3">
      <c r="A242" t="s">
        <v>453</v>
      </c>
      <c r="B242" t="s">
        <v>170</v>
      </c>
      <c r="C242" t="s">
        <v>70</v>
      </c>
      <c r="D242" t="s">
        <v>58</v>
      </c>
      <c r="E242" t="s">
        <v>20</v>
      </c>
      <c r="F242">
        <v>6</v>
      </c>
      <c r="G242" s="3">
        <v>1929.62</v>
      </c>
      <c r="H242" s="3">
        <v>11577.72</v>
      </c>
      <c r="I242" s="3">
        <v>4706.59</v>
      </c>
      <c r="J242" t="s">
        <v>16</v>
      </c>
      <c r="K242">
        <v>7</v>
      </c>
      <c r="L242" s="9">
        <f>Tablo1[[#This Row],[Toplam_Kar]]/Tablo1[[#This Row],[Toplam_Ciro]]</f>
        <v>0.40652131853249174</v>
      </c>
      <c r="M242" s="3">
        <f>Tablo1[[#This Row],[Birim_Fiyat]]-(Tablo1[[#This Row],[Toplam_Kar]]/Tablo1[[#This Row],[Urun_Adedi]])</f>
        <v>1145.188333333333</v>
      </c>
    </row>
    <row r="243" spans="1:13" x14ac:dyDescent="0.3">
      <c r="A243" t="s">
        <v>454</v>
      </c>
      <c r="B243" t="s">
        <v>421</v>
      </c>
      <c r="C243" t="s">
        <v>114</v>
      </c>
      <c r="D243" t="s">
        <v>23</v>
      </c>
      <c r="E243" t="s">
        <v>15</v>
      </c>
      <c r="F243">
        <v>1</v>
      </c>
      <c r="G243" s="3">
        <v>2890.82</v>
      </c>
      <c r="H243" s="3">
        <v>2890.82</v>
      </c>
      <c r="I243" s="3">
        <v>800.87</v>
      </c>
      <c r="J243" t="s">
        <v>16</v>
      </c>
      <c r="K243">
        <v>2</v>
      </c>
      <c r="L243" s="9">
        <f>Tablo1[[#This Row],[Toplam_Kar]]/Tablo1[[#This Row],[Toplam_Ciro]]</f>
        <v>0.27703904082578645</v>
      </c>
      <c r="M243" s="3">
        <f>Tablo1[[#This Row],[Birim_Fiyat]]-(Tablo1[[#This Row],[Toplam_Kar]]/Tablo1[[#This Row],[Urun_Adedi]])</f>
        <v>2089.9500000000003</v>
      </c>
    </row>
    <row r="244" spans="1:13" x14ac:dyDescent="0.3">
      <c r="A244" t="s">
        <v>455</v>
      </c>
      <c r="B244" t="s">
        <v>456</v>
      </c>
      <c r="C244" t="s">
        <v>61</v>
      </c>
      <c r="D244" t="s">
        <v>28</v>
      </c>
      <c r="E244" t="s">
        <v>20</v>
      </c>
      <c r="F244">
        <v>5</v>
      </c>
      <c r="G244" s="3">
        <v>4059.3</v>
      </c>
      <c r="H244" s="3">
        <v>20296.5</v>
      </c>
      <c r="I244" s="3">
        <v>3170.77</v>
      </c>
      <c r="J244" t="s">
        <v>24</v>
      </c>
      <c r="K244">
        <v>5</v>
      </c>
      <c r="L244" s="9">
        <f>Tablo1[[#This Row],[Toplam_Kar]]/Tablo1[[#This Row],[Toplam_Ciro]]</f>
        <v>0.15622250141650038</v>
      </c>
      <c r="M244" s="3">
        <f>Tablo1[[#This Row],[Birim_Fiyat]]-(Tablo1[[#This Row],[Toplam_Kar]]/Tablo1[[#This Row],[Urun_Adedi]])</f>
        <v>3425.1460000000002</v>
      </c>
    </row>
    <row r="245" spans="1:13" x14ac:dyDescent="0.3">
      <c r="A245" t="s">
        <v>457</v>
      </c>
      <c r="B245" t="s">
        <v>57</v>
      </c>
      <c r="C245" t="s">
        <v>27</v>
      </c>
      <c r="D245" t="s">
        <v>14</v>
      </c>
      <c r="E245" t="s">
        <v>29</v>
      </c>
      <c r="F245">
        <v>5</v>
      </c>
      <c r="G245" s="3">
        <v>3711.82</v>
      </c>
      <c r="H245" s="3">
        <v>18559.099999999999</v>
      </c>
      <c r="I245" s="3">
        <v>2825.06</v>
      </c>
      <c r="J245" t="s">
        <v>16</v>
      </c>
      <c r="K245">
        <v>2</v>
      </c>
      <c r="L245" s="9">
        <f>Tablo1[[#This Row],[Toplam_Kar]]/Tablo1[[#This Row],[Toplam_Ciro]]</f>
        <v>0.15221966582431262</v>
      </c>
      <c r="M245" s="3">
        <f>Tablo1[[#This Row],[Birim_Fiyat]]-(Tablo1[[#This Row],[Toplam_Kar]]/Tablo1[[#This Row],[Urun_Adedi]])</f>
        <v>3146.808</v>
      </c>
    </row>
    <row r="246" spans="1:13" x14ac:dyDescent="0.3">
      <c r="A246" t="s">
        <v>458</v>
      </c>
      <c r="B246" t="s">
        <v>459</v>
      </c>
      <c r="C246" t="s">
        <v>19</v>
      </c>
      <c r="D246" t="s">
        <v>23</v>
      </c>
      <c r="E246" t="s">
        <v>35</v>
      </c>
      <c r="F246">
        <v>4</v>
      </c>
      <c r="G246" s="3">
        <v>4872.1000000000004</v>
      </c>
      <c r="H246" s="3">
        <v>19488.400000000001</v>
      </c>
      <c r="I246" s="3">
        <v>6210.14</v>
      </c>
      <c r="J246" t="s">
        <v>24</v>
      </c>
      <c r="K246">
        <v>6</v>
      </c>
      <c r="L246" s="9">
        <f>Tablo1[[#This Row],[Toplam_Kar]]/Tablo1[[#This Row],[Toplam_Ciro]]</f>
        <v>0.3186582787709612</v>
      </c>
      <c r="M246" s="3">
        <f>Tablo1[[#This Row],[Birim_Fiyat]]-(Tablo1[[#This Row],[Toplam_Kar]]/Tablo1[[#This Row],[Urun_Adedi]])</f>
        <v>3319.5650000000005</v>
      </c>
    </row>
    <row r="247" spans="1:13" x14ac:dyDescent="0.3">
      <c r="A247" t="s">
        <v>460</v>
      </c>
      <c r="B247" t="s">
        <v>461</v>
      </c>
      <c r="C247" t="s">
        <v>19</v>
      </c>
      <c r="D247" t="s">
        <v>23</v>
      </c>
      <c r="E247" t="s">
        <v>29</v>
      </c>
      <c r="F247">
        <v>3</v>
      </c>
      <c r="G247" s="3">
        <v>4838.29</v>
      </c>
      <c r="H247" s="3">
        <v>14514.87</v>
      </c>
      <c r="I247" s="3">
        <v>2445.52</v>
      </c>
      <c r="J247" t="s">
        <v>16</v>
      </c>
      <c r="K247">
        <v>2</v>
      </c>
      <c r="L247" s="9">
        <f>Tablo1[[#This Row],[Toplam_Kar]]/Tablo1[[#This Row],[Toplam_Ciro]]</f>
        <v>0.16848376871442872</v>
      </c>
      <c r="M247" s="3">
        <f>Tablo1[[#This Row],[Birim_Fiyat]]-(Tablo1[[#This Row],[Toplam_Kar]]/Tablo1[[#This Row],[Urun_Adedi]])</f>
        <v>4023.1166666666668</v>
      </c>
    </row>
    <row r="248" spans="1:13" x14ac:dyDescent="0.3">
      <c r="A248" t="s">
        <v>462</v>
      </c>
      <c r="B248" t="s">
        <v>267</v>
      </c>
      <c r="C248" s="5"/>
      <c r="D248" t="s">
        <v>58</v>
      </c>
      <c r="E248" t="s">
        <v>15</v>
      </c>
      <c r="F248">
        <v>7</v>
      </c>
      <c r="G248" s="3">
        <v>4256.58</v>
      </c>
      <c r="H248" s="3">
        <v>29796.06</v>
      </c>
      <c r="I248" s="3">
        <v>6573.61</v>
      </c>
      <c r="J248" t="s">
        <v>16</v>
      </c>
      <c r="K248">
        <v>7</v>
      </c>
      <c r="L248" s="9">
        <f>Tablo1[[#This Row],[Toplam_Kar]]/Tablo1[[#This Row],[Toplam_Ciro]]</f>
        <v>0.22062010883318128</v>
      </c>
      <c r="M248" s="3">
        <f>Tablo1[[#This Row],[Birim_Fiyat]]-(Tablo1[[#This Row],[Toplam_Kar]]/Tablo1[[#This Row],[Urun_Adedi]])</f>
        <v>3317.4928571428572</v>
      </c>
    </row>
    <row r="249" spans="1:13" x14ac:dyDescent="0.3">
      <c r="A249" t="s">
        <v>463</v>
      </c>
      <c r="B249" t="s">
        <v>464</v>
      </c>
      <c r="C249" t="s">
        <v>13</v>
      </c>
      <c r="D249" t="s">
        <v>28</v>
      </c>
      <c r="E249" t="s">
        <v>29</v>
      </c>
      <c r="F249">
        <v>6</v>
      </c>
      <c r="G249" s="3">
        <v>2492.79</v>
      </c>
      <c r="H249" s="3">
        <v>14956.74</v>
      </c>
      <c r="I249" s="3">
        <v>3086.67</v>
      </c>
      <c r="J249" t="s">
        <v>16</v>
      </c>
      <c r="K249">
        <v>5</v>
      </c>
      <c r="L249" s="9">
        <f>Tablo1[[#This Row],[Toplam_Kar]]/Tablo1[[#This Row],[Toplam_Ciro]]</f>
        <v>0.20637318025184634</v>
      </c>
      <c r="M249" s="3">
        <f>Tablo1[[#This Row],[Birim_Fiyat]]-(Tablo1[[#This Row],[Toplam_Kar]]/Tablo1[[#This Row],[Urun_Adedi]])</f>
        <v>1978.3449999999998</v>
      </c>
    </row>
    <row r="250" spans="1:13" x14ac:dyDescent="0.3">
      <c r="A250" t="s">
        <v>465</v>
      </c>
      <c r="B250" t="s">
        <v>371</v>
      </c>
      <c r="C250" t="s">
        <v>32</v>
      </c>
      <c r="D250" t="s">
        <v>40</v>
      </c>
      <c r="E250" t="s">
        <v>20</v>
      </c>
      <c r="F250">
        <v>8</v>
      </c>
      <c r="G250" s="3">
        <v>1012.49</v>
      </c>
      <c r="H250" s="3">
        <v>8099.92</v>
      </c>
      <c r="I250" s="3">
        <v>2301.92</v>
      </c>
      <c r="J250" t="s">
        <v>36</v>
      </c>
      <c r="K250">
        <v>5</v>
      </c>
      <c r="L250" s="9">
        <f>Tablo1[[#This Row],[Toplam_Kar]]/Tablo1[[#This Row],[Toplam_Ciro]]</f>
        <v>0.28419046114035695</v>
      </c>
      <c r="M250" s="3">
        <f>Tablo1[[#This Row],[Birim_Fiyat]]-(Tablo1[[#This Row],[Toplam_Kar]]/Tablo1[[#This Row],[Urun_Adedi]])</f>
        <v>724.75</v>
      </c>
    </row>
    <row r="251" spans="1:13" x14ac:dyDescent="0.3">
      <c r="A251" t="s">
        <v>466</v>
      </c>
      <c r="B251" t="s">
        <v>467</v>
      </c>
      <c r="C251" t="s">
        <v>13</v>
      </c>
      <c r="D251" t="s">
        <v>58</v>
      </c>
      <c r="E251" t="s">
        <v>20</v>
      </c>
      <c r="F251">
        <v>7</v>
      </c>
      <c r="G251" s="3">
        <v>3697.54</v>
      </c>
      <c r="H251" s="3">
        <v>25882.78</v>
      </c>
      <c r="I251" s="3">
        <v>11521.87</v>
      </c>
      <c r="J251" t="s">
        <v>36</v>
      </c>
      <c r="K251">
        <v>1</v>
      </c>
      <c r="L251" s="9">
        <f>Tablo1[[#This Row],[Toplam_Kar]]/Tablo1[[#This Row],[Toplam_Ciro]]</f>
        <v>0.44515581401997784</v>
      </c>
      <c r="M251" s="3">
        <f>Tablo1[[#This Row],[Birim_Fiyat]]-(Tablo1[[#This Row],[Toplam_Kar]]/Tablo1[[#This Row],[Urun_Adedi]])</f>
        <v>2051.5585714285712</v>
      </c>
    </row>
    <row r="252" spans="1:13" x14ac:dyDescent="0.3">
      <c r="A252" t="s">
        <v>468</v>
      </c>
      <c r="B252" t="s">
        <v>469</v>
      </c>
      <c r="C252" t="s">
        <v>61</v>
      </c>
      <c r="D252" t="s">
        <v>58</v>
      </c>
      <c r="E252" t="s">
        <v>35</v>
      </c>
      <c r="F252">
        <v>4</v>
      </c>
      <c r="G252" s="3">
        <v>1082.47</v>
      </c>
      <c r="H252" s="3">
        <v>4329.88</v>
      </c>
      <c r="I252" s="3">
        <v>758.82</v>
      </c>
      <c r="J252" t="s">
        <v>36</v>
      </c>
      <c r="K252">
        <v>3</v>
      </c>
      <c r="L252" s="9">
        <f>Tablo1[[#This Row],[Toplam_Kar]]/Tablo1[[#This Row],[Toplam_Ciro]]</f>
        <v>0.17525197003150203</v>
      </c>
      <c r="M252" s="3">
        <f>Tablo1[[#This Row],[Birim_Fiyat]]-(Tablo1[[#This Row],[Toplam_Kar]]/Tablo1[[#This Row],[Urun_Adedi]])</f>
        <v>892.76499999999999</v>
      </c>
    </row>
    <row r="253" spans="1:13" x14ac:dyDescent="0.3">
      <c r="A253" t="s">
        <v>470</v>
      </c>
      <c r="B253" t="s">
        <v>219</v>
      </c>
      <c r="C253" t="s">
        <v>44</v>
      </c>
      <c r="D253" t="s">
        <v>40</v>
      </c>
      <c r="E253" t="s">
        <v>29</v>
      </c>
      <c r="F253">
        <v>5</v>
      </c>
      <c r="G253" s="3">
        <v>3157.2</v>
      </c>
      <c r="H253" s="3">
        <v>15786</v>
      </c>
      <c r="I253" s="3">
        <v>2128.1799999999998</v>
      </c>
      <c r="J253" t="s">
        <v>16</v>
      </c>
      <c r="K253">
        <v>1</v>
      </c>
      <c r="L253" s="9">
        <f>Tablo1[[#This Row],[Toplam_Kar]]/Tablo1[[#This Row],[Toplam_Ciro]]</f>
        <v>0.13481439249968324</v>
      </c>
      <c r="M253" s="3">
        <f>Tablo1[[#This Row],[Birim_Fiyat]]-(Tablo1[[#This Row],[Toplam_Kar]]/Tablo1[[#This Row],[Urun_Adedi]])</f>
        <v>2731.5639999999999</v>
      </c>
    </row>
    <row r="254" spans="1:13" x14ac:dyDescent="0.3">
      <c r="A254" t="s">
        <v>471</v>
      </c>
      <c r="B254" t="s">
        <v>472</v>
      </c>
      <c r="C254" t="s">
        <v>39</v>
      </c>
      <c r="D254" t="s">
        <v>23</v>
      </c>
      <c r="E254" t="s">
        <v>20</v>
      </c>
      <c r="F254">
        <v>5</v>
      </c>
      <c r="G254" s="3">
        <v>3450.98</v>
      </c>
      <c r="H254" s="3">
        <v>17254.900000000001</v>
      </c>
      <c r="I254" s="3">
        <v>3179.88</v>
      </c>
      <c r="J254" t="s">
        <v>16</v>
      </c>
      <c r="K254">
        <v>2</v>
      </c>
      <c r="L254" s="9">
        <f>Tablo1[[#This Row],[Toplam_Kar]]/Tablo1[[#This Row],[Toplam_Ciro]]</f>
        <v>0.18428852094187737</v>
      </c>
      <c r="M254" s="3">
        <f>Tablo1[[#This Row],[Birim_Fiyat]]-(Tablo1[[#This Row],[Toplam_Kar]]/Tablo1[[#This Row],[Urun_Adedi]])</f>
        <v>2815.0039999999999</v>
      </c>
    </row>
    <row r="255" spans="1:13" x14ac:dyDescent="0.3">
      <c r="A255" t="s">
        <v>473</v>
      </c>
      <c r="B255" t="s">
        <v>474</v>
      </c>
      <c r="C255" t="s">
        <v>13</v>
      </c>
      <c r="D255" t="s">
        <v>58</v>
      </c>
      <c r="E255" t="s">
        <v>20</v>
      </c>
      <c r="F255">
        <v>6</v>
      </c>
      <c r="G255" s="3">
        <v>838.37</v>
      </c>
      <c r="H255" s="3">
        <v>5030.22</v>
      </c>
      <c r="I255" s="3">
        <v>722.26</v>
      </c>
      <c r="J255" t="s">
        <v>16</v>
      </c>
      <c r="K255">
        <v>6</v>
      </c>
      <c r="L255" s="9">
        <f>Tablo1[[#This Row],[Toplam_Kar]]/Tablo1[[#This Row],[Toplam_Ciro]]</f>
        <v>0.14358417723280492</v>
      </c>
      <c r="M255" s="3">
        <f>Tablo1[[#This Row],[Birim_Fiyat]]-(Tablo1[[#This Row],[Toplam_Kar]]/Tablo1[[#This Row],[Urun_Adedi]])</f>
        <v>717.99333333333334</v>
      </c>
    </row>
    <row r="256" spans="1:13" x14ac:dyDescent="0.3">
      <c r="A256" t="s">
        <v>475</v>
      </c>
      <c r="B256" t="s">
        <v>339</v>
      </c>
      <c r="C256" t="s">
        <v>27</v>
      </c>
      <c r="D256" t="s">
        <v>28</v>
      </c>
      <c r="E256" t="s">
        <v>35</v>
      </c>
      <c r="F256">
        <v>6</v>
      </c>
      <c r="G256" s="3">
        <v>909.6</v>
      </c>
      <c r="H256" s="3">
        <v>5457.6</v>
      </c>
      <c r="I256" s="3">
        <v>1279.9100000000001</v>
      </c>
      <c r="J256" t="s">
        <v>36</v>
      </c>
      <c r="K256">
        <v>5</v>
      </c>
      <c r="L256" s="9">
        <f>Tablo1[[#This Row],[Toplam_Kar]]/Tablo1[[#This Row],[Toplam_Ciro]]</f>
        <v>0.23451883611844035</v>
      </c>
      <c r="M256" s="3">
        <f>Tablo1[[#This Row],[Birim_Fiyat]]-(Tablo1[[#This Row],[Toplam_Kar]]/Tablo1[[#This Row],[Urun_Adedi]])</f>
        <v>696.28166666666664</v>
      </c>
    </row>
    <row r="257" spans="1:13" x14ac:dyDescent="0.3">
      <c r="A257" t="s">
        <v>476</v>
      </c>
      <c r="B257" t="s">
        <v>477</v>
      </c>
      <c r="C257" t="s">
        <v>53</v>
      </c>
      <c r="D257" t="s">
        <v>40</v>
      </c>
      <c r="E257" t="s">
        <v>35</v>
      </c>
      <c r="F257">
        <v>3</v>
      </c>
      <c r="G257" s="3">
        <v>478.75</v>
      </c>
      <c r="H257" s="3">
        <v>1436.25</v>
      </c>
      <c r="I257" s="3">
        <v>404.62</v>
      </c>
      <c r="J257" t="s">
        <v>24</v>
      </c>
      <c r="K257">
        <v>6</v>
      </c>
      <c r="L257" s="9">
        <f>Tablo1[[#This Row],[Toplam_Kar]]/Tablo1[[#This Row],[Toplam_Ciro]]</f>
        <v>0.28171975630983465</v>
      </c>
      <c r="M257" s="3">
        <f>Tablo1[[#This Row],[Birim_Fiyat]]-(Tablo1[[#This Row],[Toplam_Kar]]/Tablo1[[#This Row],[Urun_Adedi]])</f>
        <v>343.87666666666667</v>
      </c>
    </row>
    <row r="258" spans="1:13" x14ac:dyDescent="0.3">
      <c r="A258" t="s">
        <v>478</v>
      </c>
      <c r="B258" t="s">
        <v>142</v>
      </c>
      <c r="C258" t="s">
        <v>70</v>
      </c>
      <c r="D258" t="s">
        <v>28</v>
      </c>
      <c r="E258" t="s">
        <v>20</v>
      </c>
      <c r="F258">
        <v>5</v>
      </c>
      <c r="G258" s="3">
        <v>3771.35</v>
      </c>
      <c r="H258" s="3">
        <v>18856.75</v>
      </c>
      <c r="I258" s="3">
        <v>7508.48</v>
      </c>
      <c r="J258" t="s">
        <v>24</v>
      </c>
      <c r="K258">
        <v>1</v>
      </c>
      <c r="L258" s="9">
        <f>Tablo1[[#This Row],[Toplam_Kar]]/Tablo1[[#This Row],[Toplam_Ciro]]</f>
        <v>0.39818526522332848</v>
      </c>
      <c r="M258" s="3">
        <f>Tablo1[[#This Row],[Birim_Fiyat]]-(Tablo1[[#This Row],[Toplam_Kar]]/Tablo1[[#This Row],[Urun_Adedi]])</f>
        <v>2269.654</v>
      </c>
    </row>
    <row r="259" spans="1:13" x14ac:dyDescent="0.3">
      <c r="A259" t="s">
        <v>479</v>
      </c>
      <c r="B259" t="s">
        <v>480</v>
      </c>
      <c r="C259" t="s">
        <v>19</v>
      </c>
      <c r="D259" t="s">
        <v>58</v>
      </c>
      <c r="E259" t="s">
        <v>35</v>
      </c>
      <c r="F259">
        <v>6</v>
      </c>
      <c r="G259" s="3">
        <v>1502.03</v>
      </c>
      <c r="H259" s="3">
        <v>9012.18</v>
      </c>
      <c r="I259" s="3">
        <v>3506.6</v>
      </c>
      <c r="J259" t="s">
        <v>16</v>
      </c>
      <c r="K259">
        <v>5</v>
      </c>
      <c r="L259" s="9">
        <f>Tablo1[[#This Row],[Toplam_Kar]]/Tablo1[[#This Row],[Toplam_Ciro]]</f>
        <v>0.38909564611448061</v>
      </c>
      <c r="M259" s="3">
        <f>Tablo1[[#This Row],[Birim_Fiyat]]-(Tablo1[[#This Row],[Toplam_Kar]]/Tablo1[[#This Row],[Urun_Adedi]])</f>
        <v>917.59666666666669</v>
      </c>
    </row>
    <row r="260" spans="1:13" x14ac:dyDescent="0.3">
      <c r="A260" t="s">
        <v>481</v>
      </c>
      <c r="B260" t="s">
        <v>482</v>
      </c>
      <c r="C260" t="s">
        <v>27</v>
      </c>
      <c r="D260" t="s">
        <v>28</v>
      </c>
      <c r="E260" t="s">
        <v>15</v>
      </c>
      <c r="F260">
        <v>3</v>
      </c>
      <c r="G260" s="3">
        <v>3740.86</v>
      </c>
      <c r="H260" s="3">
        <v>11222.58</v>
      </c>
      <c r="I260" s="3">
        <v>2775.25</v>
      </c>
      <c r="J260" t="s">
        <v>16</v>
      </c>
      <c r="K260">
        <v>4</v>
      </c>
      <c r="L260" s="9">
        <f>Tablo1[[#This Row],[Toplam_Kar]]/Tablo1[[#This Row],[Toplam_Ciro]]</f>
        <v>0.24729162099980576</v>
      </c>
      <c r="M260" s="3">
        <f>Tablo1[[#This Row],[Birim_Fiyat]]-(Tablo1[[#This Row],[Toplam_Kar]]/Tablo1[[#This Row],[Urun_Adedi]])</f>
        <v>2815.7766666666666</v>
      </c>
    </row>
    <row r="261" spans="1:13" x14ac:dyDescent="0.3">
      <c r="A261" t="s">
        <v>483</v>
      </c>
      <c r="B261" t="s">
        <v>38</v>
      </c>
      <c r="C261" t="s">
        <v>70</v>
      </c>
      <c r="D261" t="s">
        <v>14</v>
      </c>
      <c r="E261" t="s">
        <v>35</v>
      </c>
      <c r="F261">
        <v>7</v>
      </c>
      <c r="G261" s="3">
        <v>3374.03</v>
      </c>
      <c r="H261" s="3">
        <v>23618.21</v>
      </c>
      <c r="I261" s="3">
        <v>4231.25</v>
      </c>
      <c r="J261" t="s">
        <v>24</v>
      </c>
      <c r="K261">
        <v>4</v>
      </c>
      <c r="L261" s="9">
        <f>Tablo1[[#This Row],[Toplam_Kar]]/Tablo1[[#This Row],[Toplam_Ciro]]</f>
        <v>0.17915201871776057</v>
      </c>
      <c r="M261" s="3">
        <f>Tablo1[[#This Row],[Birim_Fiyat]]-(Tablo1[[#This Row],[Toplam_Kar]]/Tablo1[[#This Row],[Urun_Adedi]])</f>
        <v>2769.5657142857144</v>
      </c>
    </row>
    <row r="262" spans="1:13" x14ac:dyDescent="0.3">
      <c r="A262" t="s">
        <v>484</v>
      </c>
      <c r="B262" t="s">
        <v>485</v>
      </c>
      <c r="C262" t="s">
        <v>61</v>
      </c>
      <c r="D262" t="s">
        <v>23</v>
      </c>
      <c r="E262" t="s">
        <v>20</v>
      </c>
      <c r="F262">
        <v>8</v>
      </c>
      <c r="G262" s="3">
        <v>1783.27</v>
      </c>
      <c r="H262" s="3">
        <v>14266.16</v>
      </c>
      <c r="I262" s="3">
        <v>3165.14</v>
      </c>
      <c r="J262" t="s">
        <v>24</v>
      </c>
      <c r="K262">
        <v>1</v>
      </c>
      <c r="L262" s="9">
        <f>Tablo1[[#This Row],[Toplam_Kar]]/Tablo1[[#This Row],[Toplam_Ciro]]</f>
        <v>0.2218634867406506</v>
      </c>
      <c r="M262" s="3">
        <f>Tablo1[[#This Row],[Birim_Fiyat]]-(Tablo1[[#This Row],[Toplam_Kar]]/Tablo1[[#This Row],[Urun_Adedi]])</f>
        <v>1387.6275000000001</v>
      </c>
    </row>
    <row r="263" spans="1:13" x14ac:dyDescent="0.3">
      <c r="A263" t="s">
        <v>486</v>
      </c>
      <c r="B263" t="s">
        <v>487</v>
      </c>
      <c r="C263" t="s">
        <v>32</v>
      </c>
      <c r="D263" t="s">
        <v>14</v>
      </c>
      <c r="E263" t="s">
        <v>20</v>
      </c>
      <c r="F263">
        <v>5</v>
      </c>
      <c r="G263" s="3">
        <v>1501.59</v>
      </c>
      <c r="H263" s="3">
        <v>7507.95</v>
      </c>
      <c r="I263" s="3">
        <v>2217.8000000000002</v>
      </c>
      <c r="J263" t="s">
        <v>24</v>
      </c>
      <c r="K263">
        <v>1</v>
      </c>
      <c r="L263" s="9">
        <f>Tablo1[[#This Row],[Toplam_Kar]]/Tablo1[[#This Row],[Toplam_Ciro]]</f>
        <v>0.29539354950419228</v>
      </c>
      <c r="M263" s="3">
        <f>Tablo1[[#This Row],[Birim_Fiyat]]-(Tablo1[[#This Row],[Toplam_Kar]]/Tablo1[[#This Row],[Urun_Adedi]])</f>
        <v>1058.0299999999997</v>
      </c>
    </row>
    <row r="264" spans="1:13" x14ac:dyDescent="0.3">
      <c r="A264" t="s">
        <v>488</v>
      </c>
      <c r="B264" t="s">
        <v>489</v>
      </c>
      <c r="C264" t="s">
        <v>53</v>
      </c>
      <c r="D264" t="s">
        <v>28</v>
      </c>
      <c r="E264" t="s">
        <v>15</v>
      </c>
      <c r="F264">
        <v>2</v>
      </c>
      <c r="G264" s="3">
        <v>4034.12</v>
      </c>
      <c r="H264" s="3">
        <v>8068.24</v>
      </c>
      <c r="I264" s="3">
        <v>1523.62</v>
      </c>
      <c r="J264" t="s">
        <v>24</v>
      </c>
      <c r="K264">
        <v>5</v>
      </c>
      <c r="L264" s="9">
        <f>Tablo1[[#This Row],[Toplam_Kar]]/Tablo1[[#This Row],[Toplam_Ciro]]</f>
        <v>0.18884168046562819</v>
      </c>
      <c r="M264" s="3">
        <f>Tablo1[[#This Row],[Birim_Fiyat]]-(Tablo1[[#This Row],[Toplam_Kar]]/Tablo1[[#This Row],[Urun_Adedi]])</f>
        <v>3272.31</v>
      </c>
    </row>
    <row r="265" spans="1:13" x14ac:dyDescent="0.3">
      <c r="A265" t="s">
        <v>490</v>
      </c>
      <c r="B265" t="s">
        <v>491</v>
      </c>
      <c r="C265" t="s">
        <v>39</v>
      </c>
      <c r="D265" t="s">
        <v>23</v>
      </c>
      <c r="E265" t="s">
        <v>29</v>
      </c>
      <c r="F265">
        <v>5</v>
      </c>
      <c r="G265" s="3">
        <v>4096.43</v>
      </c>
      <c r="H265" s="3">
        <v>20482.150000000001</v>
      </c>
      <c r="I265" s="3">
        <v>2588.38</v>
      </c>
      <c r="J265" t="s">
        <v>24</v>
      </c>
      <c r="K265">
        <v>4</v>
      </c>
      <c r="L265" s="9">
        <f>Tablo1[[#This Row],[Toplam_Kar]]/Tablo1[[#This Row],[Toplam_Ciro]]</f>
        <v>0.1263724755457801</v>
      </c>
      <c r="M265" s="3">
        <f>Tablo1[[#This Row],[Birim_Fiyat]]-(Tablo1[[#This Row],[Toplam_Kar]]/Tablo1[[#This Row],[Urun_Adedi]])</f>
        <v>3578.7540000000004</v>
      </c>
    </row>
    <row r="266" spans="1:13" x14ac:dyDescent="0.3">
      <c r="A266" t="s">
        <v>492</v>
      </c>
      <c r="B266" t="s">
        <v>213</v>
      </c>
      <c r="C266" t="s">
        <v>39</v>
      </c>
      <c r="D266" t="s">
        <v>23</v>
      </c>
      <c r="E266" t="s">
        <v>35</v>
      </c>
      <c r="F266">
        <v>3</v>
      </c>
      <c r="G266" s="3">
        <v>1330.62</v>
      </c>
      <c r="H266" s="3">
        <v>3991.86</v>
      </c>
      <c r="I266" s="3">
        <v>1114.6199999999999</v>
      </c>
      <c r="J266" t="s">
        <v>36</v>
      </c>
      <c r="K266">
        <v>4</v>
      </c>
      <c r="L266" s="9">
        <f>Tablo1[[#This Row],[Toplam_Kar]]/Tablo1[[#This Row],[Toplam_Ciro]]</f>
        <v>0.2792232192511761</v>
      </c>
      <c r="M266" s="3">
        <f>Tablo1[[#This Row],[Birim_Fiyat]]-(Tablo1[[#This Row],[Toplam_Kar]]/Tablo1[[#This Row],[Urun_Adedi]])</f>
        <v>959.07999999999993</v>
      </c>
    </row>
    <row r="267" spans="1:13" x14ac:dyDescent="0.3">
      <c r="A267" t="s">
        <v>493</v>
      </c>
      <c r="B267" t="s">
        <v>106</v>
      </c>
      <c r="C267" t="s">
        <v>39</v>
      </c>
      <c r="D267" t="s">
        <v>58</v>
      </c>
      <c r="E267" t="s">
        <v>35</v>
      </c>
      <c r="F267">
        <v>1</v>
      </c>
      <c r="G267" s="3">
        <v>879.45</v>
      </c>
      <c r="H267" s="3">
        <v>879.45</v>
      </c>
      <c r="I267" s="3">
        <v>148.5</v>
      </c>
      <c r="J267" t="s">
        <v>24</v>
      </c>
      <c r="K267">
        <v>6</v>
      </c>
      <c r="L267" s="9">
        <f>Tablo1[[#This Row],[Toplam_Kar]]/Tablo1[[#This Row],[Toplam_Ciro]]</f>
        <v>0.16885553470919323</v>
      </c>
      <c r="M267" s="3">
        <f>Tablo1[[#This Row],[Birim_Fiyat]]-(Tablo1[[#This Row],[Toplam_Kar]]/Tablo1[[#This Row],[Urun_Adedi]])</f>
        <v>730.95</v>
      </c>
    </row>
    <row r="268" spans="1:13" x14ac:dyDescent="0.3">
      <c r="A268" t="s">
        <v>494</v>
      </c>
      <c r="B268" t="s">
        <v>371</v>
      </c>
      <c r="C268" t="s">
        <v>32</v>
      </c>
      <c r="D268" t="s">
        <v>23</v>
      </c>
      <c r="E268" t="s">
        <v>35</v>
      </c>
      <c r="F268">
        <v>8</v>
      </c>
      <c r="G268" s="3">
        <v>2335.9299999999998</v>
      </c>
      <c r="H268" s="3">
        <v>18687.439999999999</v>
      </c>
      <c r="I268" s="3">
        <v>8161.88</v>
      </c>
      <c r="J268" t="s">
        <v>24</v>
      </c>
      <c r="K268">
        <v>7</v>
      </c>
      <c r="L268" s="9">
        <f>Tablo1[[#This Row],[Toplam_Kar]]/Tablo1[[#This Row],[Toplam_Ciro]]</f>
        <v>0.43675752269973844</v>
      </c>
      <c r="M268" s="3">
        <f>Tablo1[[#This Row],[Birim_Fiyat]]-(Tablo1[[#This Row],[Toplam_Kar]]/Tablo1[[#This Row],[Urun_Adedi]])</f>
        <v>1315.6949999999997</v>
      </c>
    </row>
    <row r="269" spans="1:13" x14ac:dyDescent="0.3">
      <c r="A269" t="s">
        <v>495</v>
      </c>
      <c r="B269" t="s">
        <v>496</v>
      </c>
      <c r="C269" t="s">
        <v>39</v>
      </c>
      <c r="D269" t="s">
        <v>28</v>
      </c>
      <c r="E269" t="s">
        <v>29</v>
      </c>
      <c r="F269">
        <v>2</v>
      </c>
      <c r="G269" s="3">
        <v>3429.61</v>
      </c>
      <c r="H269" s="3">
        <v>6859.22</v>
      </c>
      <c r="I269" s="3">
        <v>1859.03</v>
      </c>
      <c r="J269" t="s">
        <v>36</v>
      </c>
      <c r="K269">
        <v>1</v>
      </c>
      <c r="L269" s="9">
        <f>Tablo1[[#This Row],[Toplam_Kar]]/Tablo1[[#This Row],[Toplam_Ciro]]</f>
        <v>0.27102644323990188</v>
      </c>
      <c r="M269" s="3">
        <f>Tablo1[[#This Row],[Birim_Fiyat]]-(Tablo1[[#This Row],[Toplam_Kar]]/Tablo1[[#This Row],[Urun_Adedi]])</f>
        <v>2500.0950000000003</v>
      </c>
    </row>
    <row r="270" spans="1:13" x14ac:dyDescent="0.3">
      <c r="A270" t="s">
        <v>497</v>
      </c>
      <c r="B270" t="s">
        <v>498</v>
      </c>
      <c r="C270" s="5"/>
      <c r="D270" t="s">
        <v>58</v>
      </c>
      <c r="E270" t="s">
        <v>15</v>
      </c>
      <c r="F270">
        <v>1</v>
      </c>
      <c r="G270" s="3">
        <v>1964.84</v>
      </c>
      <c r="H270" s="3">
        <v>1964.84</v>
      </c>
      <c r="I270" s="4">
        <v>1250.22</v>
      </c>
      <c r="J270" t="s">
        <v>24</v>
      </c>
      <c r="K270">
        <v>7</v>
      </c>
      <c r="L270" s="9">
        <f>Tablo1[[#This Row],[Toplam_Kar]]/Tablo1[[#This Row],[Toplam_Ciro]]</f>
        <v>0.63629608517741909</v>
      </c>
      <c r="M270" s="3">
        <f>Tablo1[[#This Row],[Birim_Fiyat]]-(Tablo1[[#This Row],[Toplam_Kar]]/Tablo1[[#This Row],[Urun_Adedi]])</f>
        <v>714.61999999999989</v>
      </c>
    </row>
    <row r="271" spans="1:13" x14ac:dyDescent="0.3">
      <c r="A271" t="s">
        <v>499</v>
      </c>
      <c r="B271" t="s">
        <v>136</v>
      </c>
      <c r="C271" t="s">
        <v>114</v>
      </c>
      <c r="D271" t="s">
        <v>58</v>
      </c>
      <c r="E271" t="s">
        <v>29</v>
      </c>
      <c r="F271">
        <v>3</v>
      </c>
      <c r="G271" s="3">
        <v>3265.75</v>
      </c>
      <c r="H271" s="3">
        <v>9797.25</v>
      </c>
      <c r="I271" s="3">
        <v>3132.44</v>
      </c>
      <c r="J271" t="s">
        <v>16</v>
      </c>
      <c r="K271">
        <v>7</v>
      </c>
      <c r="L271" s="9">
        <f>Tablo1[[#This Row],[Toplam_Kar]]/Tablo1[[#This Row],[Toplam_Ciro]]</f>
        <v>0.31972645385184617</v>
      </c>
      <c r="M271" s="3">
        <f>Tablo1[[#This Row],[Birim_Fiyat]]-(Tablo1[[#This Row],[Toplam_Kar]]/Tablo1[[#This Row],[Urun_Adedi]])</f>
        <v>2221.6033333333335</v>
      </c>
    </row>
    <row r="272" spans="1:13" x14ac:dyDescent="0.3">
      <c r="A272" t="s">
        <v>500</v>
      </c>
      <c r="B272" t="s">
        <v>477</v>
      </c>
      <c r="C272" t="s">
        <v>27</v>
      </c>
      <c r="D272" t="s">
        <v>58</v>
      </c>
      <c r="E272" t="s">
        <v>29</v>
      </c>
      <c r="F272">
        <v>2</v>
      </c>
      <c r="G272" s="3">
        <v>4896.1899999999996</v>
      </c>
      <c r="H272" s="3">
        <v>9792.3799999999992</v>
      </c>
      <c r="I272" s="3">
        <v>3505.66</v>
      </c>
      <c r="J272" t="s">
        <v>24</v>
      </c>
      <c r="K272">
        <v>4</v>
      </c>
      <c r="L272" s="9">
        <f>Tablo1[[#This Row],[Toplam_Kar]]/Tablo1[[#This Row],[Toplam_Ciro]]</f>
        <v>0.35799877047255113</v>
      </c>
      <c r="M272" s="3">
        <f>Tablo1[[#This Row],[Birim_Fiyat]]-(Tablo1[[#This Row],[Toplam_Kar]]/Tablo1[[#This Row],[Urun_Adedi]])</f>
        <v>3143.3599999999997</v>
      </c>
    </row>
    <row r="273" spans="1:13" x14ac:dyDescent="0.3">
      <c r="A273" t="s">
        <v>501</v>
      </c>
      <c r="B273" t="s">
        <v>339</v>
      </c>
      <c r="C273" t="s">
        <v>53</v>
      </c>
      <c r="D273" t="s">
        <v>40</v>
      </c>
      <c r="E273" t="s">
        <v>15</v>
      </c>
      <c r="F273">
        <v>8</v>
      </c>
      <c r="G273" s="3">
        <v>3980.43</v>
      </c>
      <c r="H273" s="3">
        <v>31843.439999999999</v>
      </c>
      <c r="I273" s="3">
        <v>10708.19</v>
      </c>
      <c r="J273" t="s">
        <v>16</v>
      </c>
      <c r="K273">
        <v>6</v>
      </c>
      <c r="L273" s="9">
        <f>Tablo1[[#This Row],[Toplam_Kar]]/Tablo1[[#This Row],[Toplam_Ciro]]</f>
        <v>0.33627616865514531</v>
      </c>
      <c r="M273" s="3">
        <f>Tablo1[[#This Row],[Birim_Fiyat]]-(Tablo1[[#This Row],[Toplam_Kar]]/Tablo1[[#This Row],[Urun_Adedi]])</f>
        <v>2641.90625</v>
      </c>
    </row>
    <row r="274" spans="1:13" x14ac:dyDescent="0.3">
      <c r="A274" t="s">
        <v>502</v>
      </c>
      <c r="B274" t="s">
        <v>503</v>
      </c>
      <c r="C274" t="s">
        <v>32</v>
      </c>
      <c r="D274" t="s">
        <v>14</v>
      </c>
      <c r="E274" t="s">
        <v>29</v>
      </c>
      <c r="F274">
        <v>5</v>
      </c>
      <c r="G274" s="3">
        <v>231.1</v>
      </c>
      <c r="H274" s="3">
        <v>1155.5</v>
      </c>
      <c r="I274" s="3">
        <v>387.74</v>
      </c>
      <c r="J274" t="s">
        <v>36</v>
      </c>
      <c r="K274">
        <v>6</v>
      </c>
      <c r="L274" s="9">
        <f>Tablo1[[#This Row],[Toplam_Kar]]/Tablo1[[#This Row],[Toplam_Ciro]]</f>
        <v>0.33556036347901341</v>
      </c>
      <c r="M274" s="3">
        <f>Tablo1[[#This Row],[Birim_Fiyat]]-(Tablo1[[#This Row],[Toplam_Kar]]/Tablo1[[#This Row],[Urun_Adedi]])</f>
        <v>153.55199999999999</v>
      </c>
    </row>
    <row r="275" spans="1:13" x14ac:dyDescent="0.3">
      <c r="A275" t="s">
        <v>504</v>
      </c>
      <c r="B275" t="s">
        <v>191</v>
      </c>
      <c r="C275" t="s">
        <v>13</v>
      </c>
      <c r="D275" t="s">
        <v>28</v>
      </c>
      <c r="E275" t="s">
        <v>35</v>
      </c>
      <c r="F275">
        <v>4</v>
      </c>
      <c r="G275" s="3">
        <v>3306.11</v>
      </c>
      <c r="H275" s="3">
        <v>13224.44</v>
      </c>
      <c r="I275" s="3">
        <v>3322.85</v>
      </c>
      <c r="J275" t="s">
        <v>16</v>
      </c>
      <c r="K275">
        <v>1</v>
      </c>
      <c r="L275" s="9">
        <f>Tablo1[[#This Row],[Toplam_Kar]]/Tablo1[[#This Row],[Toplam_Ciro]]</f>
        <v>0.25126583809976072</v>
      </c>
      <c r="M275" s="3">
        <f>Tablo1[[#This Row],[Birim_Fiyat]]-(Tablo1[[#This Row],[Toplam_Kar]]/Tablo1[[#This Row],[Urun_Adedi]])</f>
        <v>2475.3975</v>
      </c>
    </row>
    <row r="276" spans="1:13" x14ac:dyDescent="0.3">
      <c r="A276" t="s">
        <v>505</v>
      </c>
      <c r="B276" t="s">
        <v>176</v>
      </c>
      <c r="C276" t="s">
        <v>27</v>
      </c>
      <c r="D276" t="s">
        <v>40</v>
      </c>
      <c r="E276" t="s">
        <v>15</v>
      </c>
      <c r="F276">
        <v>2</v>
      </c>
      <c r="G276" s="3">
        <v>1823.1</v>
      </c>
      <c r="H276" s="3">
        <v>3646.2</v>
      </c>
      <c r="I276" s="3">
        <v>1399.54</v>
      </c>
      <c r="J276" t="s">
        <v>16</v>
      </c>
      <c r="K276">
        <v>2</v>
      </c>
      <c r="L276" s="9">
        <f>Tablo1[[#This Row],[Toplam_Kar]]/Tablo1[[#This Row],[Toplam_Ciro]]</f>
        <v>0.38383522571444245</v>
      </c>
      <c r="M276" s="3">
        <f>Tablo1[[#This Row],[Birim_Fiyat]]-(Tablo1[[#This Row],[Toplam_Kar]]/Tablo1[[#This Row],[Urun_Adedi]])</f>
        <v>1123.33</v>
      </c>
    </row>
    <row r="277" spans="1:13" x14ac:dyDescent="0.3">
      <c r="A277" t="s">
        <v>506</v>
      </c>
      <c r="B277" t="s">
        <v>124</v>
      </c>
      <c r="C277" t="s">
        <v>53</v>
      </c>
      <c r="D277" t="s">
        <v>40</v>
      </c>
      <c r="E277" t="s">
        <v>29</v>
      </c>
      <c r="F277">
        <v>3</v>
      </c>
      <c r="G277" s="3">
        <v>4188.18</v>
      </c>
      <c r="H277" s="3">
        <v>12564.54</v>
      </c>
      <c r="I277" s="3">
        <v>2731.43</v>
      </c>
      <c r="J277" t="s">
        <v>36</v>
      </c>
      <c r="K277">
        <v>1</v>
      </c>
      <c r="L277" s="9">
        <f>Tablo1[[#This Row],[Toplam_Kar]]/Tablo1[[#This Row],[Toplam_Ciro]]</f>
        <v>0.21739196182271692</v>
      </c>
      <c r="M277" s="3">
        <f>Tablo1[[#This Row],[Birim_Fiyat]]-(Tablo1[[#This Row],[Toplam_Kar]]/Tablo1[[#This Row],[Urun_Adedi]])</f>
        <v>3277.7033333333338</v>
      </c>
    </row>
    <row r="278" spans="1:13" x14ac:dyDescent="0.3">
      <c r="A278" t="s">
        <v>507</v>
      </c>
      <c r="B278" t="s">
        <v>508</v>
      </c>
      <c r="C278" t="s">
        <v>70</v>
      </c>
      <c r="D278" t="s">
        <v>28</v>
      </c>
      <c r="E278" t="s">
        <v>15</v>
      </c>
      <c r="F278">
        <v>4</v>
      </c>
      <c r="G278" s="3">
        <v>2398.4899999999998</v>
      </c>
      <c r="H278" s="3">
        <v>9593.9599999999991</v>
      </c>
      <c r="I278" s="4">
        <v>1958.33</v>
      </c>
      <c r="J278" t="s">
        <v>24</v>
      </c>
      <c r="K278">
        <v>3</v>
      </c>
      <c r="L278" s="9">
        <f>Tablo1[[#This Row],[Toplam_Kar]]/Tablo1[[#This Row],[Toplam_Ciro]]</f>
        <v>0.20412113454715258</v>
      </c>
      <c r="M278" s="3">
        <f>Tablo1[[#This Row],[Birim_Fiyat]]-(Tablo1[[#This Row],[Toplam_Kar]]/Tablo1[[#This Row],[Urun_Adedi]])</f>
        <v>1908.9074999999998</v>
      </c>
    </row>
    <row r="279" spans="1:13" x14ac:dyDescent="0.3">
      <c r="A279" t="s">
        <v>509</v>
      </c>
      <c r="B279" t="s">
        <v>195</v>
      </c>
      <c r="C279" t="s">
        <v>70</v>
      </c>
      <c r="D279" t="s">
        <v>28</v>
      </c>
      <c r="E279" t="s">
        <v>35</v>
      </c>
      <c r="F279">
        <v>2</v>
      </c>
      <c r="G279" s="3">
        <v>3476.56</v>
      </c>
      <c r="H279" s="3">
        <v>6953.12</v>
      </c>
      <c r="I279" s="3">
        <v>1546.5</v>
      </c>
      <c r="J279" t="s">
        <v>36</v>
      </c>
      <c r="K279">
        <v>4</v>
      </c>
      <c r="L279" s="9">
        <f>Tablo1[[#This Row],[Toplam_Kar]]/Tablo1[[#This Row],[Toplam_Ciro]]</f>
        <v>0.22241813746922245</v>
      </c>
      <c r="M279" s="3">
        <f>Tablo1[[#This Row],[Birim_Fiyat]]-(Tablo1[[#This Row],[Toplam_Kar]]/Tablo1[[#This Row],[Urun_Adedi]])</f>
        <v>2703.31</v>
      </c>
    </row>
    <row r="280" spans="1:13" x14ac:dyDescent="0.3">
      <c r="A280" t="s">
        <v>510</v>
      </c>
      <c r="B280" t="s">
        <v>477</v>
      </c>
      <c r="C280" t="s">
        <v>32</v>
      </c>
      <c r="D280" t="s">
        <v>58</v>
      </c>
      <c r="E280" t="s">
        <v>20</v>
      </c>
      <c r="F280">
        <v>8</v>
      </c>
      <c r="G280" s="3">
        <v>639.35</v>
      </c>
      <c r="H280" s="3">
        <v>5114.8</v>
      </c>
      <c r="I280" s="3">
        <v>1408.71</v>
      </c>
      <c r="J280" t="s">
        <v>36</v>
      </c>
      <c r="K280">
        <v>1</v>
      </c>
      <c r="L280" s="9">
        <f>Tablo1[[#This Row],[Toplam_Kar]]/Tablo1[[#This Row],[Toplam_Ciro]]</f>
        <v>0.27541839368108234</v>
      </c>
      <c r="M280" s="3">
        <f>Tablo1[[#This Row],[Birim_Fiyat]]-(Tablo1[[#This Row],[Toplam_Kar]]/Tablo1[[#This Row],[Urun_Adedi]])</f>
        <v>463.26125000000002</v>
      </c>
    </row>
    <row r="281" spans="1:13" x14ac:dyDescent="0.3">
      <c r="A281" t="s">
        <v>511</v>
      </c>
      <c r="B281" t="s">
        <v>489</v>
      </c>
      <c r="C281" t="s">
        <v>53</v>
      </c>
      <c r="D281" t="s">
        <v>58</v>
      </c>
      <c r="E281" t="s">
        <v>15</v>
      </c>
      <c r="F281">
        <v>3</v>
      </c>
      <c r="G281" s="3">
        <v>3822.81</v>
      </c>
      <c r="H281" s="3">
        <v>11468.43</v>
      </c>
      <c r="I281" s="4">
        <v>2100.1999999999998</v>
      </c>
      <c r="J281" t="s">
        <v>24</v>
      </c>
      <c r="K281">
        <v>4</v>
      </c>
      <c r="L281" s="9">
        <f>Tablo1[[#This Row],[Toplam_Kar]]/Tablo1[[#This Row],[Toplam_Ciro]]</f>
        <v>0.18312881536531153</v>
      </c>
      <c r="M281" s="3">
        <f>Tablo1[[#This Row],[Birim_Fiyat]]-(Tablo1[[#This Row],[Toplam_Kar]]/Tablo1[[#This Row],[Urun_Adedi]])</f>
        <v>3122.7433333333333</v>
      </c>
    </row>
    <row r="282" spans="1:13" x14ac:dyDescent="0.3">
      <c r="A282" t="s">
        <v>512</v>
      </c>
      <c r="B282" t="s">
        <v>513</v>
      </c>
      <c r="C282" t="s">
        <v>27</v>
      </c>
      <c r="D282" t="s">
        <v>23</v>
      </c>
      <c r="E282" t="s">
        <v>35</v>
      </c>
      <c r="F282">
        <v>3</v>
      </c>
      <c r="G282" s="3">
        <v>1902.69</v>
      </c>
      <c r="H282" s="3">
        <v>5708.07</v>
      </c>
      <c r="I282" s="3">
        <v>1429.73</v>
      </c>
      <c r="J282" t="s">
        <v>36</v>
      </c>
      <c r="K282">
        <v>1</v>
      </c>
      <c r="L282" s="9">
        <f>Tablo1[[#This Row],[Toplam_Kar]]/Tablo1[[#This Row],[Toplam_Ciro]]</f>
        <v>0.25047520440359</v>
      </c>
      <c r="M282" s="3">
        <f>Tablo1[[#This Row],[Birim_Fiyat]]-(Tablo1[[#This Row],[Toplam_Kar]]/Tablo1[[#This Row],[Urun_Adedi]])</f>
        <v>1426.1133333333335</v>
      </c>
    </row>
    <row r="283" spans="1:13" x14ac:dyDescent="0.3">
      <c r="A283" t="s">
        <v>514</v>
      </c>
      <c r="B283" t="s">
        <v>149</v>
      </c>
      <c r="C283" s="5"/>
      <c r="D283" t="s">
        <v>40</v>
      </c>
      <c r="E283" t="s">
        <v>20</v>
      </c>
      <c r="F283">
        <v>6</v>
      </c>
      <c r="G283" s="3">
        <v>3280.9</v>
      </c>
      <c r="H283" s="3">
        <v>19685.400000000001</v>
      </c>
      <c r="I283" s="3">
        <v>7997.91</v>
      </c>
      <c r="J283" t="s">
        <v>24</v>
      </c>
      <c r="K283">
        <v>3</v>
      </c>
      <c r="L283" s="9">
        <f>Tablo1[[#This Row],[Toplam_Kar]]/Tablo1[[#This Row],[Toplam_Ciro]]</f>
        <v>0.40628638483342983</v>
      </c>
      <c r="M283" s="3">
        <f>Tablo1[[#This Row],[Birim_Fiyat]]-(Tablo1[[#This Row],[Toplam_Kar]]/Tablo1[[#This Row],[Urun_Adedi]])</f>
        <v>1947.9150000000002</v>
      </c>
    </row>
    <row r="284" spans="1:13" x14ac:dyDescent="0.3">
      <c r="A284" t="s">
        <v>515</v>
      </c>
      <c r="B284" t="s">
        <v>516</v>
      </c>
      <c r="C284" t="s">
        <v>13</v>
      </c>
      <c r="D284" t="s">
        <v>28</v>
      </c>
      <c r="E284" t="s">
        <v>20</v>
      </c>
      <c r="F284">
        <v>6</v>
      </c>
      <c r="G284" s="3">
        <v>539.6</v>
      </c>
      <c r="H284" s="3">
        <v>3237.6</v>
      </c>
      <c r="I284" s="3">
        <v>744.84</v>
      </c>
      <c r="J284" t="s">
        <v>24</v>
      </c>
      <c r="K284">
        <v>7</v>
      </c>
      <c r="L284" s="9">
        <f>Tablo1[[#This Row],[Toplam_Kar]]/Tablo1[[#This Row],[Toplam_Ciro]]</f>
        <v>0.23005930318754636</v>
      </c>
      <c r="M284" s="3">
        <f>Tablo1[[#This Row],[Birim_Fiyat]]-(Tablo1[[#This Row],[Toplam_Kar]]/Tablo1[[#This Row],[Urun_Adedi]])</f>
        <v>415.46000000000004</v>
      </c>
    </row>
    <row r="285" spans="1:13" x14ac:dyDescent="0.3">
      <c r="A285" t="s">
        <v>517</v>
      </c>
      <c r="B285" t="s">
        <v>518</v>
      </c>
      <c r="C285" t="s">
        <v>19</v>
      </c>
      <c r="D285" t="s">
        <v>14</v>
      </c>
      <c r="E285" t="s">
        <v>29</v>
      </c>
      <c r="F285">
        <v>8</v>
      </c>
      <c r="G285" s="3">
        <v>1676.73</v>
      </c>
      <c r="H285" s="3">
        <v>13413.84</v>
      </c>
      <c r="I285" s="3">
        <v>3920.41</v>
      </c>
      <c r="J285" t="s">
        <v>24</v>
      </c>
      <c r="K285">
        <v>1</v>
      </c>
      <c r="L285" s="9">
        <f>Tablo1[[#This Row],[Toplam_Kar]]/Tablo1[[#This Row],[Toplam_Ciro]]</f>
        <v>0.29226604760456365</v>
      </c>
      <c r="M285" s="3">
        <f>Tablo1[[#This Row],[Birim_Fiyat]]-(Tablo1[[#This Row],[Toplam_Kar]]/Tablo1[[#This Row],[Urun_Adedi]])</f>
        <v>1186.67875</v>
      </c>
    </row>
    <row r="286" spans="1:13" x14ac:dyDescent="0.3">
      <c r="A286" t="s">
        <v>519</v>
      </c>
      <c r="B286" t="s">
        <v>520</v>
      </c>
      <c r="C286" t="s">
        <v>44</v>
      </c>
      <c r="D286" t="s">
        <v>58</v>
      </c>
      <c r="E286" t="s">
        <v>35</v>
      </c>
      <c r="F286">
        <v>1</v>
      </c>
      <c r="G286" s="3">
        <v>4363.5600000000004</v>
      </c>
      <c r="H286" s="3">
        <v>4363.5600000000004</v>
      </c>
      <c r="I286" s="3">
        <v>1386.78</v>
      </c>
      <c r="J286" t="s">
        <v>16</v>
      </c>
      <c r="K286">
        <v>1</v>
      </c>
      <c r="L286" s="9">
        <f>Tablo1[[#This Row],[Toplam_Kar]]/Tablo1[[#This Row],[Toplam_Ciro]]</f>
        <v>0.31780931166295406</v>
      </c>
      <c r="M286" s="3">
        <f>Tablo1[[#This Row],[Birim_Fiyat]]-(Tablo1[[#This Row],[Toplam_Kar]]/Tablo1[[#This Row],[Urun_Adedi]])</f>
        <v>2976.7800000000007</v>
      </c>
    </row>
    <row r="287" spans="1:13" x14ac:dyDescent="0.3">
      <c r="A287" t="s">
        <v>521</v>
      </c>
      <c r="B287" t="s">
        <v>219</v>
      </c>
      <c r="C287" t="s">
        <v>32</v>
      </c>
      <c r="D287" t="s">
        <v>14</v>
      </c>
      <c r="E287" t="s">
        <v>35</v>
      </c>
      <c r="F287">
        <v>5</v>
      </c>
      <c r="G287" s="3">
        <v>4263.4399999999996</v>
      </c>
      <c r="H287" s="3">
        <v>21317.200000000001</v>
      </c>
      <c r="I287" s="3">
        <v>8838.24</v>
      </c>
      <c r="J287" t="s">
        <v>36</v>
      </c>
      <c r="K287">
        <v>5</v>
      </c>
      <c r="L287" s="9">
        <f>Tablo1[[#This Row],[Toplam_Kar]]/Tablo1[[#This Row],[Toplam_Ciro]]</f>
        <v>0.41460604582215299</v>
      </c>
      <c r="M287" s="3">
        <f>Tablo1[[#This Row],[Birim_Fiyat]]-(Tablo1[[#This Row],[Toplam_Kar]]/Tablo1[[#This Row],[Urun_Adedi]])</f>
        <v>2495.7919999999995</v>
      </c>
    </row>
    <row r="288" spans="1:13" x14ac:dyDescent="0.3">
      <c r="A288" t="s">
        <v>522</v>
      </c>
      <c r="B288" t="s">
        <v>523</v>
      </c>
      <c r="C288" t="s">
        <v>19</v>
      </c>
      <c r="D288" t="s">
        <v>58</v>
      </c>
      <c r="E288" t="s">
        <v>29</v>
      </c>
      <c r="F288">
        <v>5</v>
      </c>
      <c r="G288" s="3">
        <v>289.48</v>
      </c>
      <c r="H288" s="3">
        <v>1447.4</v>
      </c>
      <c r="I288" s="3">
        <v>289.14999999999998</v>
      </c>
      <c r="J288" t="s">
        <v>36</v>
      </c>
      <c r="K288">
        <v>2</v>
      </c>
      <c r="L288" s="9">
        <f>Tablo1[[#This Row],[Toplam_Kar]]/Tablo1[[#This Row],[Toplam_Ciro]]</f>
        <v>0.1997720049744369</v>
      </c>
      <c r="M288" s="3">
        <f>Tablo1[[#This Row],[Birim_Fiyat]]-(Tablo1[[#This Row],[Toplam_Kar]]/Tablo1[[#This Row],[Urun_Adedi]])</f>
        <v>231.65000000000003</v>
      </c>
    </row>
    <row r="289" spans="1:13" x14ac:dyDescent="0.3">
      <c r="A289" t="s">
        <v>524</v>
      </c>
      <c r="B289" t="s">
        <v>211</v>
      </c>
      <c r="C289" t="s">
        <v>13</v>
      </c>
      <c r="D289" t="s">
        <v>23</v>
      </c>
      <c r="E289" t="s">
        <v>29</v>
      </c>
      <c r="F289">
        <v>5</v>
      </c>
      <c r="G289" s="3">
        <v>2975.83</v>
      </c>
      <c r="H289" s="3">
        <v>14879.15</v>
      </c>
      <c r="I289" s="3">
        <v>2516.67</v>
      </c>
      <c r="J289" t="s">
        <v>36</v>
      </c>
      <c r="K289">
        <v>7</v>
      </c>
      <c r="L289" s="9">
        <f>Tablo1[[#This Row],[Toplam_Kar]]/Tablo1[[#This Row],[Toplam_Ciro]]</f>
        <v>0.16914071032283431</v>
      </c>
      <c r="M289" s="3">
        <f>Tablo1[[#This Row],[Birim_Fiyat]]-(Tablo1[[#This Row],[Toplam_Kar]]/Tablo1[[#This Row],[Urun_Adedi]])</f>
        <v>2472.4960000000001</v>
      </c>
    </row>
    <row r="290" spans="1:13" x14ac:dyDescent="0.3">
      <c r="A290" t="s">
        <v>525</v>
      </c>
      <c r="B290" t="s">
        <v>526</v>
      </c>
      <c r="C290" t="s">
        <v>114</v>
      </c>
      <c r="D290" t="s">
        <v>28</v>
      </c>
      <c r="E290" t="s">
        <v>29</v>
      </c>
      <c r="F290">
        <v>3</v>
      </c>
      <c r="G290" s="3">
        <v>2497.91</v>
      </c>
      <c r="H290" s="3">
        <v>7493.73</v>
      </c>
      <c r="I290" s="3">
        <v>3087.56</v>
      </c>
      <c r="J290" t="s">
        <v>24</v>
      </c>
      <c r="K290">
        <v>3</v>
      </c>
      <c r="L290" s="9">
        <f>Tablo1[[#This Row],[Toplam_Kar]]/Tablo1[[#This Row],[Toplam_Ciro]]</f>
        <v>0.41201911464651114</v>
      </c>
      <c r="M290" s="3">
        <f>Tablo1[[#This Row],[Birim_Fiyat]]-(Tablo1[[#This Row],[Toplam_Kar]]/Tablo1[[#This Row],[Urun_Adedi]])</f>
        <v>1468.7233333333331</v>
      </c>
    </row>
    <row r="291" spans="1:13" x14ac:dyDescent="0.3">
      <c r="A291" t="s">
        <v>527</v>
      </c>
      <c r="B291" t="s">
        <v>528</v>
      </c>
      <c r="C291" t="s">
        <v>27</v>
      </c>
      <c r="D291" t="s">
        <v>40</v>
      </c>
      <c r="E291" t="s">
        <v>29</v>
      </c>
      <c r="F291">
        <v>8</v>
      </c>
      <c r="G291" s="3">
        <v>3470.61</v>
      </c>
      <c r="H291" s="3">
        <v>27764.880000000001</v>
      </c>
      <c r="I291" s="3">
        <v>5536.43</v>
      </c>
      <c r="J291" t="s">
        <v>24</v>
      </c>
      <c r="K291">
        <v>4</v>
      </c>
      <c r="L291" s="9">
        <f>Tablo1[[#This Row],[Toplam_Kar]]/Tablo1[[#This Row],[Toplam_Ciro]]</f>
        <v>0.19940406729652713</v>
      </c>
      <c r="M291" s="3">
        <f>Tablo1[[#This Row],[Birim_Fiyat]]-(Tablo1[[#This Row],[Toplam_Kar]]/Tablo1[[#This Row],[Urun_Adedi]])</f>
        <v>2778.5562500000001</v>
      </c>
    </row>
    <row r="292" spans="1:13" x14ac:dyDescent="0.3">
      <c r="A292" t="s">
        <v>529</v>
      </c>
      <c r="B292" t="s">
        <v>276</v>
      </c>
      <c r="C292" t="s">
        <v>114</v>
      </c>
      <c r="D292" t="s">
        <v>28</v>
      </c>
      <c r="E292" t="s">
        <v>29</v>
      </c>
      <c r="F292">
        <v>8</v>
      </c>
      <c r="G292" s="3">
        <v>2736.11</v>
      </c>
      <c r="H292" s="3">
        <v>21888.880000000001</v>
      </c>
      <c r="I292" s="3">
        <v>6235.66</v>
      </c>
      <c r="J292" t="s">
        <v>36</v>
      </c>
      <c r="K292">
        <v>6</v>
      </c>
      <c r="L292" s="9">
        <f>Tablo1[[#This Row],[Toplam_Kar]]/Tablo1[[#This Row],[Toplam_Ciro]]</f>
        <v>0.2848779837067954</v>
      </c>
      <c r="M292" s="3">
        <f>Tablo1[[#This Row],[Birim_Fiyat]]-(Tablo1[[#This Row],[Toplam_Kar]]/Tablo1[[#This Row],[Urun_Adedi]])</f>
        <v>1956.6525000000001</v>
      </c>
    </row>
    <row r="293" spans="1:13" x14ac:dyDescent="0.3">
      <c r="A293" t="s">
        <v>530</v>
      </c>
      <c r="B293" t="s">
        <v>440</v>
      </c>
      <c r="C293" t="s">
        <v>27</v>
      </c>
      <c r="D293" t="s">
        <v>40</v>
      </c>
      <c r="E293" t="s">
        <v>35</v>
      </c>
      <c r="F293">
        <v>8</v>
      </c>
      <c r="G293" s="3">
        <v>984.5</v>
      </c>
      <c r="H293" s="3">
        <v>7876</v>
      </c>
      <c r="I293" s="3">
        <v>3446.33</v>
      </c>
      <c r="J293" t="s">
        <v>16</v>
      </c>
      <c r="K293">
        <v>1</v>
      </c>
      <c r="L293" s="9">
        <f>Tablo1[[#This Row],[Toplam_Kar]]/Tablo1[[#This Row],[Toplam_Ciro]]</f>
        <v>0.4375736414423565</v>
      </c>
      <c r="M293" s="3">
        <f>Tablo1[[#This Row],[Birim_Fiyat]]-(Tablo1[[#This Row],[Toplam_Kar]]/Tablo1[[#This Row],[Urun_Adedi]])</f>
        <v>553.70875000000001</v>
      </c>
    </row>
    <row r="294" spans="1:13" x14ac:dyDescent="0.3">
      <c r="A294" t="s">
        <v>531</v>
      </c>
      <c r="B294" t="s">
        <v>31</v>
      </c>
      <c r="C294" t="s">
        <v>53</v>
      </c>
      <c r="D294" t="s">
        <v>23</v>
      </c>
      <c r="E294" t="s">
        <v>15</v>
      </c>
      <c r="F294">
        <v>5</v>
      </c>
      <c r="G294" s="3">
        <v>4785.54</v>
      </c>
      <c r="H294" s="3">
        <v>23927.7</v>
      </c>
      <c r="I294" s="4">
        <v>3950.2</v>
      </c>
      <c r="J294" t="s">
        <v>16</v>
      </c>
      <c r="K294">
        <v>2</v>
      </c>
      <c r="L294" s="9">
        <f>Tablo1[[#This Row],[Toplam_Kar]]/Tablo1[[#This Row],[Toplam_Ciro]]</f>
        <v>0.16508899727094536</v>
      </c>
      <c r="M294" s="3">
        <f>Tablo1[[#This Row],[Birim_Fiyat]]-(Tablo1[[#This Row],[Toplam_Kar]]/Tablo1[[#This Row],[Urun_Adedi]])</f>
        <v>3995.5</v>
      </c>
    </row>
    <row r="295" spans="1:13" x14ac:dyDescent="0.3">
      <c r="A295" t="s">
        <v>532</v>
      </c>
      <c r="B295" t="s">
        <v>236</v>
      </c>
      <c r="C295" t="s">
        <v>27</v>
      </c>
      <c r="D295" t="s">
        <v>58</v>
      </c>
      <c r="E295" t="s">
        <v>20</v>
      </c>
      <c r="F295">
        <v>5</v>
      </c>
      <c r="G295" s="3">
        <v>4705.47</v>
      </c>
      <c r="H295" s="3">
        <v>23527.35</v>
      </c>
      <c r="I295" s="3">
        <v>8904.19</v>
      </c>
      <c r="J295" t="s">
        <v>36</v>
      </c>
      <c r="K295">
        <v>1</v>
      </c>
      <c r="L295" s="9">
        <f>Tablo1[[#This Row],[Toplam_Kar]]/Tablo1[[#This Row],[Toplam_Ciro]]</f>
        <v>0.37846123766595052</v>
      </c>
      <c r="M295" s="3">
        <f>Tablo1[[#This Row],[Birim_Fiyat]]-(Tablo1[[#This Row],[Toplam_Kar]]/Tablo1[[#This Row],[Urun_Adedi]])</f>
        <v>2924.6320000000001</v>
      </c>
    </row>
    <row r="296" spans="1:13" x14ac:dyDescent="0.3">
      <c r="A296" t="s">
        <v>533</v>
      </c>
      <c r="B296" t="s">
        <v>311</v>
      </c>
      <c r="C296" t="s">
        <v>32</v>
      </c>
      <c r="D296" t="s">
        <v>58</v>
      </c>
      <c r="E296" t="s">
        <v>15</v>
      </c>
      <c r="F296">
        <v>1</v>
      </c>
      <c r="G296" s="3">
        <v>2967.82</v>
      </c>
      <c r="H296" s="3">
        <v>2967.82</v>
      </c>
      <c r="I296" s="3">
        <v>1107.5</v>
      </c>
      <c r="J296" t="s">
        <v>36</v>
      </c>
      <c r="K296">
        <v>3</v>
      </c>
      <c r="L296" s="9">
        <f>Tablo1[[#This Row],[Toplam_Kar]]/Tablo1[[#This Row],[Toplam_Ciro]]</f>
        <v>0.37316953184492319</v>
      </c>
      <c r="M296" s="3">
        <f>Tablo1[[#This Row],[Birim_Fiyat]]-(Tablo1[[#This Row],[Toplam_Kar]]/Tablo1[[#This Row],[Urun_Adedi]])</f>
        <v>1860.3200000000002</v>
      </c>
    </row>
    <row r="297" spans="1:13" x14ac:dyDescent="0.3">
      <c r="A297" t="s">
        <v>534</v>
      </c>
      <c r="B297" t="s">
        <v>86</v>
      </c>
      <c r="C297" t="s">
        <v>61</v>
      </c>
      <c r="D297" t="s">
        <v>28</v>
      </c>
      <c r="E297" t="s">
        <v>15</v>
      </c>
      <c r="F297">
        <v>4</v>
      </c>
      <c r="G297" s="3">
        <v>4090.67</v>
      </c>
      <c r="H297" s="3">
        <v>16362.68</v>
      </c>
      <c r="I297" s="3">
        <v>6511.76</v>
      </c>
      <c r="J297" t="s">
        <v>16</v>
      </c>
      <c r="K297">
        <v>1</v>
      </c>
      <c r="L297" s="9">
        <f>Tablo1[[#This Row],[Toplam_Kar]]/Tablo1[[#This Row],[Toplam_Ciro]]</f>
        <v>0.39796414768240901</v>
      </c>
      <c r="M297" s="3">
        <f>Tablo1[[#This Row],[Birim_Fiyat]]-(Tablo1[[#This Row],[Toplam_Kar]]/Tablo1[[#This Row],[Urun_Adedi]])</f>
        <v>2462.73</v>
      </c>
    </row>
    <row r="298" spans="1:13" x14ac:dyDescent="0.3">
      <c r="A298" t="s">
        <v>535</v>
      </c>
      <c r="B298" t="s">
        <v>295</v>
      </c>
      <c r="C298" t="s">
        <v>13</v>
      </c>
      <c r="D298" t="s">
        <v>28</v>
      </c>
      <c r="E298" t="s">
        <v>15</v>
      </c>
      <c r="F298">
        <v>5</v>
      </c>
      <c r="G298" s="3">
        <v>1965.78</v>
      </c>
      <c r="H298" s="3">
        <v>9828.9</v>
      </c>
      <c r="I298" s="3">
        <v>2184.0100000000002</v>
      </c>
      <c r="J298" t="s">
        <v>24</v>
      </c>
      <c r="K298">
        <v>3</v>
      </c>
      <c r="L298" s="9">
        <f>Tablo1[[#This Row],[Toplam_Kar]]/Tablo1[[#This Row],[Toplam_Ciro]]</f>
        <v>0.22220289147310485</v>
      </c>
      <c r="M298" s="3">
        <f>Tablo1[[#This Row],[Birim_Fiyat]]-(Tablo1[[#This Row],[Toplam_Kar]]/Tablo1[[#This Row],[Urun_Adedi]])</f>
        <v>1528.9780000000001</v>
      </c>
    </row>
    <row r="299" spans="1:13" x14ac:dyDescent="0.3">
      <c r="A299" t="s">
        <v>536</v>
      </c>
      <c r="B299" t="s">
        <v>496</v>
      </c>
      <c r="C299" t="s">
        <v>13</v>
      </c>
      <c r="D299" t="s">
        <v>58</v>
      </c>
      <c r="E299" t="s">
        <v>29</v>
      </c>
      <c r="F299">
        <v>6</v>
      </c>
      <c r="G299" s="3">
        <v>3289.28</v>
      </c>
      <c r="H299" s="3">
        <v>19735.68</v>
      </c>
      <c r="I299" s="3">
        <v>6082.48</v>
      </c>
      <c r="J299" t="s">
        <v>24</v>
      </c>
      <c r="K299">
        <v>3</v>
      </c>
      <c r="L299" s="9">
        <f>Tablo1[[#This Row],[Toplam_Kar]]/Tablo1[[#This Row],[Toplam_Ciro]]</f>
        <v>0.30819713331387616</v>
      </c>
      <c r="M299" s="3">
        <f>Tablo1[[#This Row],[Birim_Fiyat]]-(Tablo1[[#This Row],[Toplam_Kar]]/Tablo1[[#This Row],[Urun_Adedi]])</f>
        <v>2275.5333333333338</v>
      </c>
    </row>
    <row r="300" spans="1:13" x14ac:dyDescent="0.3">
      <c r="A300" t="s">
        <v>537</v>
      </c>
      <c r="B300" t="s">
        <v>538</v>
      </c>
      <c r="C300" t="s">
        <v>114</v>
      </c>
      <c r="D300" t="s">
        <v>14</v>
      </c>
      <c r="E300" t="s">
        <v>35</v>
      </c>
      <c r="F300">
        <v>2</v>
      </c>
      <c r="G300" s="3">
        <v>1495.09</v>
      </c>
      <c r="H300" s="3">
        <v>2990.18</v>
      </c>
      <c r="I300" s="4">
        <v>850.95</v>
      </c>
      <c r="J300" t="s">
        <v>24</v>
      </c>
      <c r="K300">
        <v>2</v>
      </c>
      <c r="L300" s="9">
        <f>Tablo1[[#This Row],[Toplam_Kar]]/Tablo1[[#This Row],[Toplam_Ciro]]</f>
        <v>0.28458153020888377</v>
      </c>
      <c r="M300" s="3">
        <f>Tablo1[[#This Row],[Birim_Fiyat]]-(Tablo1[[#This Row],[Toplam_Kar]]/Tablo1[[#This Row],[Urun_Adedi]])</f>
        <v>1069.6149999999998</v>
      </c>
    </row>
    <row r="301" spans="1:13" x14ac:dyDescent="0.3">
      <c r="A301" t="s">
        <v>539</v>
      </c>
      <c r="B301" t="s">
        <v>487</v>
      </c>
      <c r="C301" t="s">
        <v>61</v>
      </c>
      <c r="D301" t="s">
        <v>14</v>
      </c>
      <c r="E301" t="s">
        <v>15</v>
      </c>
      <c r="F301">
        <v>4</v>
      </c>
      <c r="G301" s="3">
        <v>3554.18</v>
      </c>
      <c r="H301" s="3">
        <v>14216.72</v>
      </c>
      <c r="I301" s="3">
        <v>4005.21</v>
      </c>
      <c r="J301" t="s">
        <v>36</v>
      </c>
      <c r="K301">
        <v>6</v>
      </c>
      <c r="L301" s="9">
        <f>Tablo1[[#This Row],[Toplam_Kar]]/Tablo1[[#This Row],[Toplam_Ciro]]</f>
        <v>0.28172532060841038</v>
      </c>
      <c r="M301" s="3">
        <f>Tablo1[[#This Row],[Birim_Fiyat]]-(Tablo1[[#This Row],[Toplam_Kar]]/Tablo1[[#This Row],[Urun_Adedi]])</f>
        <v>2552.8774999999996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sehirbazli_pivot</vt:lpstr>
      <vt:lpstr>kategoribazlı_pivot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2026-06-08T20:59:18Z</dcterms:created>
  <dcterms:modified xsi:type="dcterms:W3CDTF">2026-06-11T16:55:03Z</dcterms:modified>
</cp:coreProperties>
</file>